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0260" windowHeight="10050" firstSheet="3" activeTab="3"/>
  </bookViews>
  <sheets>
    <sheet name="Sheet1" sheetId="1" state="hidden" r:id="rId1"/>
    <sheet name="Concrete" sheetId="2" state="hidden" r:id="rId2"/>
    <sheet name="Rebar" sheetId="3" state="hidden" r:id="rId3"/>
    <sheet name="Backfill &amp; Structural Exc" sheetId="4" r:id="rId4"/>
    <sheet name="Sheet2" sheetId="5" r:id="rId5"/>
  </sheets>
  <functionGroups builtInGroupCount="17"/>
  <calcPr calcId="144525"/>
</workbook>
</file>

<file path=xl/calcChain.xml><?xml version="1.0" encoding="utf-8"?>
<calcChain xmlns="http://schemas.openxmlformats.org/spreadsheetml/2006/main">
  <c r="C41" i="4" l="1"/>
  <c r="B41" i="4" l="1"/>
  <c r="K70" i="3" l="1"/>
  <c r="D55" i="3" a="1"/>
  <c r="D55" i="3" s="1"/>
  <c r="D54" i="3" a="1"/>
  <c r="D54" i="3" s="1"/>
  <c r="D53" i="3" a="1"/>
  <c r="D53" i="3" s="1"/>
  <c r="D52" i="3" a="1"/>
  <c r="D52" i="3" s="1"/>
  <c r="D51" i="3" a="1"/>
  <c r="D51" i="3" s="1"/>
  <c r="D50" i="3" a="1"/>
  <c r="D50" i="3" s="1"/>
  <c r="D49" i="3" a="1"/>
  <c r="D49" i="3" s="1"/>
  <c r="D48" i="3" a="1"/>
  <c r="D48" i="3" s="1"/>
  <c r="D47" i="3" a="1"/>
  <c r="D47" i="3" s="1"/>
  <c r="F47" i="3" s="1"/>
  <c r="G47" i="3" s="1"/>
  <c r="D46" i="3" a="1"/>
  <c r="D46" i="3" s="1"/>
  <c r="D45" i="3" a="1"/>
  <c r="D45" i="3" s="1"/>
  <c r="D44" i="3" a="1"/>
  <c r="D44" i="3" s="1"/>
  <c r="D43" i="3" a="1"/>
  <c r="D43" i="3" s="1"/>
  <c r="D42" i="3" a="1"/>
  <c r="D42" i="3" s="1"/>
  <c r="D41" i="3" a="1"/>
  <c r="D41" i="3" s="1"/>
  <c r="F41" i="3" s="1"/>
  <c r="G41" i="3" s="1"/>
  <c r="D40" i="3" a="1"/>
  <c r="D40" i="3" s="1"/>
  <c r="D39" i="3" a="1"/>
  <c r="D39" i="3" s="1"/>
  <c r="D38" i="3" a="1"/>
  <c r="D38" i="3" s="1"/>
  <c r="D37" i="3" a="1"/>
  <c r="D37" i="3" s="1"/>
  <c r="D36" i="3" a="1"/>
  <c r="D36" i="3" s="1"/>
  <c r="D35" i="3" a="1"/>
  <c r="D35" i="3" s="1"/>
  <c r="F35" i="3" s="1"/>
  <c r="G35" i="3" s="1"/>
  <c r="D34" i="3" a="1"/>
  <c r="D34" i="3" s="1"/>
  <c r="D33" i="3" a="1"/>
  <c r="D33" i="3" s="1"/>
  <c r="D32" i="3" a="1"/>
  <c r="D32" i="3" s="1"/>
  <c r="J26" i="3"/>
  <c r="I26" i="3"/>
  <c r="J25" i="3"/>
  <c r="I25" i="3"/>
  <c r="J24" i="3"/>
  <c r="G24" i="3"/>
  <c r="I24" i="3" s="1"/>
  <c r="H22" i="3"/>
  <c r="I22" i="3" s="1"/>
  <c r="J22" i="3" s="1"/>
  <c r="I21" i="3"/>
  <c r="J21" i="3" s="1"/>
  <c r="I20" i="3"/>
  <c r="J20" i="3" s="1"/>
  <c r="I19" i="3"/>
  <c r="J19" i="3" s="1"/>
  <c r="I18" i="3"/>
  <c r="J18" i="3" s="1"/>
  <c r="J16" i="3"/>
  <c r="I15" i="3"/>
  <c r="J15" i="3" s="1"/>
  <c r="I14" i="3"/>
  <c r="J14" i="3" s="1"/>
  <c r="I13" i="3"/>
  <c r="J13" i="3" s="1"/>
  <c r="I12" i="3"/>
  <c r="J12" i="3" s="1"/>
  <c r="I10" i="3"/>
  <c r="J10" i="3" s="1"/>
  <c r="I9" i="3"/>
  <c r="J9" i="3" s="1"/>
  <c r="I8" i="3"/>
  <c r="J8" i="3" s="1"/>
  <c r="I7" i="3"/>
  <c r="J7" i="3" s="1"/>
  <c r="O4" i="3"/>
  <c r="P4" i="3" s="1"/>
  <c r="K24" i="3" l="1"/>
  <c r="F53" i="3"/>
  <c r="G53" i="3" s="1"/>
  <c r="K7" i="3"/>
  <c r="K12" i="3"/>
  <c r="K18" i="3"/>
  <c r="F32" i="3"/>
  <c r="G32" i="3" s="1"/>
  <c r="F38" i="3"/>
  <c r="G38" i="3" s="1"/>
  <c r="F44" i="3"/>
  <c r="G44" i="3" s="1"/>
  <c r="F50" i="3"/>
  <c r="G50" i="3" s="1"/>
  <c r="K29" i="3" l="1"/>
  <c r="I36" i="3" a="1"/>
  <c r="I36" i="3" s="1"/>
  <c r="I33" i="3" a="1"/>
  <c r="I33" i="3" s="1"/>
  <c r="G56" i="3"/>
  <c r="B15" i="4" l="1"/>
  <c r="H32" i="4"/>
  <c r="D37" i="2"/>
  <c r="D30" i="2"/>
  <c r="C32" i="2"/>
  <c r="B32" i="2"/>
  <c r="B25" i="2"/>
  <c r="C25" i="2"/>
  <c r="D23" i="2"/>
  <c r="D32" i="4"/>
  <c r="D32" i="2" l="1"/>
  <c r="E32" i="2" s="1"/>
  <c r="C15" i="4"/>
  <c r="D15" i="4" l="1"/>
  <c r="G17" i="4"/>
  <c r="H17" i="4" s="1"/>
  <c r="C4" i="4"/>
  <c r="C6" i="4"/>
  <c r="B44" i="2" l="1"/>
  <c r="B58" i="2" l="1"/>
  <c r="H12" i="4"/>
  <c r="C11" i="5"/>
  <c r="C12" i="5"/>
  <c r="C13" i="5"/>
  <c r="C14" i="5"/>
  <c r="C15" i="5"/>
  <c r="C10" i="5"/>
  <c r="D34" i="4" l="1"/>
  <c r="D38" i="4" s="1"/>
  <c r="O39" i="2" l="1"/>
  <c r="M21" i="2"/>
  <c r="J39" i="2" s="1"/>
  <c r="O17" i="2"/>
  <c r="K39" i="2" s="1"/>
  <c r="N39" i="2" l="1"/>
  <c r="Q39" i="2"/>
  <c r="M39" i="2"/>
  <c r="L39" i="2"/>
  <c r="E37" i="2"/>
  <c r="P39" i="2" l="1"/>
  <c r="R39" i="2" s="1"/>
  <c r="G31" i="2" s="1"/>
  <c r="F24" i="4"/>
  <c r="D26" i="4"/>
  <c r="J14" i="4"/>
  <c r="E15" i="4" s="1"/>
  <c r="D6" i="4"/>
  <c r="D5" i="4"/>
  <c r="D4" i="4"/>
  <c r="H7" i="4"/>
  <c r="F6" i="4"/>
  <c r="H6" i="4" s="1"/>
  <c r="H4" i="4" l="1"/>
  <c r="D7" i="4"/>
  <c r="F15" i="4"/>
  <c r="E30" i="2"/>
  <c r="E23" i="2"/>
  <c r="H15" i="4" l="1"/>
  <c r="H19" i="4" s="1"/>
  <c r="H20" i="4" s="1"/>
  <c r="D25" i="2" l="1"/>
  <c r="E25" i="2" s="1"/>
  <c r="G17" i="2"/>
  <c r="C2" i="2"/>
  <c r="K7" i="1"/>
  <c r="K6" i="1"/>
  <c r="K5" i="1"/>
  <c r="J7" i="1"/>
  <c r="J6" i="1"/>
  <c r="J5" i="1"/>
  <c r="I7" i="1"/>
  <c r="I6" i="1"/>
  <c r="I5" i="1"/>
  <c r="I8" i="1" l="1"/>
  <c r="C11" i="1" s="1"/>
  <c r="E26" i="2"/>
  <c r="D2" i="2"/>
  <c r="E12" i="2"/>
  <c r="B12" i="2"/>
  <c r="F12" i="2"/>
  <c r="C12" i="2"/>
  <c r="E33" i="2"/>
  <c r="J31" i="2" s="1"/>
  <c r="J32" i="2" s="1"/>
  <c r="C14" i="2"/>
  <c r="C1" i="2"/>
  <c r="I12" i="2" s="1"/>
  <c r="K8" i="1"/>
  <c r="E11" i="1" s="1"/>
  <c r="J8" i="1"/>
  <c r="D11" i="1" s="1"/>
  <c r="J11" i="1" l="1"/>
  <c r="F14" i="2"/>
  <c r="D12" i="2"/>
  <c r="G12" i="2"/>
  <c r="G18" i="2" l="1"/>
  <c r="G19" i="2"/>
</calcChain>
</file>

<file path=xl/comments1.xml><?xml version="1.0" encoding="utf-8"?>
<comments xmlns="http://schemas.openxmlformats.org/spreadsheetml/2006/main">
  <authors>
    <author>user</author>
  </authors>
  <commentList>
    <comment ref="E3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OA-IA-(0.1*di)
di==is distance meas
</t>
        </r>
      </text>
    </comment>
  </commentList>
</comments>
</file>

<file path=xl/comments2.xml><?xml version="1.0" encoding="utf-8"?>
<comments xmlns="http://schemas.openxmlformats.org/spreadsheetml/2006/main">
  <authors>
    <author>user</author>
    <author>best</author>
  </authors>
  <commentList>
    <comment ref="G1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3+0.25+0.25+0.45+0.45</t>
        </r>
      </text>
    </comment>
    <comment ref="B15" authorId="1">
      <text>
        <r>
          <rPr>
            <b/>
            <sz val="9"/>
            <color indexed="81"/>
            <rFont val="Tahoma"/>
            <family val="2"/>
          </rPr>
          <t>best:</t>
        </r>
        <r>
          <rPr>
            <sz val="9"/>
            <color indexed="81"/>
            <rFont val="Tahoma"/>
            <family val="2"/>
          </rPr>
          <t xml:space="preserve">
L1 + 0.9</t>
        </r>
      </text>
    </comment>
    <comment ref="C15" authorId="1">
      <text>
        <r>
          <rPr>
            <b/>
            <sz val="9"/>
            <color indexed="81"/>
            <rFont val="Tahoma"/>
            <family val="2"/>
          </rPr>
          <t>best:</t>
        </r>
        <r>
          <rPr>
            <sz val="9"/>
            <color indexed="81"/>
            <rFont val="Tahoma"/>
            <family val="2"/>
          </rPr>
          <t xml:space="preserve">
0.5(K1+K2+0.9)</t>
        </r>
      </text>
    </comment>
  </commentList>
</comments>
</file>

<file path=xl/sharedStrings.xml><?xml version="1.0" encoding="utf-8"?>
<sst xmlns="http://schemas.openxmlformats.org/spreadsheetml/2006/main" count="206" uniqueCount="137">
  <si>
    <t xml:space="preserve">Man Hole Size </t>
  </si>
  <si>
    <t>2*2</t>
  </si>
  <si>
    <t>2*2.5</t>
  </si>
  <si>
    <t>3.5*3.5</t>
  </si>
  <si>
    <t>L1</t>
  </si>
  <si>
    <t>L2</t>
  </si>
  <si>
    <t>L3</t>
  </si>
  <si>
    <t>T1</t>
  </si>
  <si>
    <t>T2</t>
  </si>
  <si>
    <t>W</t>
  </si>
  <si>
    <t>BAR(KG)</t>
  </si>
  <si>
    <t>CONCRETE(M3)-C-30</t>
  </si>
  <si>
    <t>from 1m</t>
  </si>
  <si>
    <t>from 2m</t>
  </si>
  <si>
    <t>a</t>
  </si>
  <si>
    <t>b</t>
  </si>
  <si>
    <t>Hf</t>
  </si>
  <si>
    <t>mm</t>
  </si>
  <si>
    <t>Bar S1</t>
  </si>
  <si>
    <t>Bar S3</t>
  </si>
  <si>
    <t>Bar S6</t>
  </si>
  <si>
    <t>Bar S7</t>
  </si>
  <si>
    <t>Bar S2</t>
  </si>
  <si>
    <t>Bar S5</t>
  </si>
  <si>
    <t>d</t>
  </si>
  <si>
    <t>c</t>
  </si>
  <si>
    <t>spacing</t>
  </si>
  <si>
    <t>??</t>
  </si>
  <si>
    <t>times 2</t>
  </si>
  <si>
    <t>100 X 250</t>
  </si>
  <si>
    <t>Concrete volume for 2m sample calc</t>
  </si>
  <si>
    <t>inn area</t>
  </si>
  <si>
    <t>out area</t>
  </si>
  <si>
    <t>ditto</t>
  </si>
  <si>
    <t>concrete volume m3</t>
  </si>
  <si>
    <t>bottom 
Area</t>
  </si>
  <si>
    <t>Area in m2</t>
  </si>
  <si>
    <t>Concrete volume for 1m sample calc</t>
  </si>
  <si>
    <t>Table of Reinforcement Steel Size, Spacing(mm) per unit Cover for Pedstrian Crossing</t>
  </si>
  <si>
    <t>BAR</t>
  </si>
  <si>
    <t>SIZE(mm)</t>
  </si>
  <si>
    <t>Spacing(mm)</t>
  </si>
  <si>
    <t>Num.</t>
  </si>
  <si>
    <t xml:space="preserve">LENGTH(m)
</t>
  </si>
  <si>
    <t xml:space="preserve">TOTAL LENGTH(m)
</t>
  </si>
  <si>
    <t xml:space="preserve">WEIGHT(kg)
</t>
  </si>
  <si>
    <t>Total Wight(Kg)</t>
  </si>
  <si>
    <t>Concrete volume for Edge beam</t>
  </si>
  <si>
    <t>Length</t>
  </si>
  <si>
    <t>Width</t>
  </si>
  <si>
    <t>Height</t>
  </si>
  <si>
    <t>Volume</t>
  </si>
  <si>
    <t>D1</t>
  </si>
  <si>
    <t>Structural excavation</t>
  </si>
  <si>
    <t>Area</t>
  </si>
  <si>
    <t>volume</t>
  </si>
  <si>
    <t>end 1</t>
  </si>
  <si>
    <t>end2</t>
  </si>
  <si>
    <t>middle</t>
  </si>
  <si>
    <t>Total Volume</t>
  </si>
  <si>
    <t>-</t>
  </si>
  <si>
    <t>L</t>
  </si>
  <si>
    <t>Timsing</t>
  </si>
  <si>
    <t>H</t>
  </si>
  <si>
    <t>D</t>
  </si>
  <si>
    <t>ht</t>
  </si>
  <si>
    <t>a=</t>
  </si>
  <si>
    <t>wings</t>
  </si>
  <si>
    <t xml:space="preserve"> …..X2</t>
  </si>
  <si>
    <t xml:space="preserve"> volume gross</t>
  </si>
  <si>
    <t>Backfill volume for end structures</t>
  </si>
  <si>
    <t>Total</t>
  </si>
  <si>
    <t>Backfill volume for middle structure</t>
  </si>
  <si>
    <t>Total Back fill volume</t>
  </si>
  <si>
    <t>cos(45)*K1</t>
  </si>
  <si>
    <t>wing wall Quantity</t>
  </si>
  <si>
    <t>timising</t>
  </si>
  <si>
    <t>Tvolume</t>
  </si>
  <si>
    <t xml:space="preserve">      per culvert</t>
  </si>
  <si>
    <t>Total Volume is</t>
  </si>
  <si>
    <t xml:space="preserve">Total Concrete volume Quantity </t>
  </si>
  <si>
    <t>Edge Beam</t>
  </si>
  <si>
    <t>Channel Excavation</t>
  </si>
  <si>
    <t>K1</t>
  </si>
  <si>
    <t>K2</t>
  </si>
  <si>
    <t>var</t>
  </si>
  <si>
    <t>Th</t>
  </si>
  <si>
    <t>ht-D</t>
  </si>
  <si>
    <t>h-avg</t>
  </si>
  <si>
    <t>Area-1</t>
  </si>
  <si>
    <t>Dt</t>
  </si>
  <si>
    <t>thmax</t>
  </si>
  <si>
    <t>thmin</t>
  </si>
  <si>
    <t>Area-2</t>
  </si>
  <si>
    <t>Volume 1</t>
  </si>
  <si>
    <t>Volume 2</t>
  </si>
  <si>
    <t>type</t>
  </si>
  <si>
    <t>end1</t>
  </si>
  <si>
    <t>Total volume</t>
  </si>
  <si>
    <t>elevation</t>
  </si>
  <si>
    <t>Barrel
Length</t>
  </si>
  <si>
    <t>frm wing wall toooo center line</t>
  </si>
  <si>
    <t>drop inlet</t>
  </si>
  <si>
    <t>wing wall Quantity from SD stadard wingwall for two end structure</t>
  </si>
  <si>
    <t>area for foundation flll.</t>
  </si>
  <si>
    <t>Location</t>
  </si>
  <si>
    <t>Timising</t>
  </si>
  <si>
    <t xml:space="preserve">LENGTH
(m)
</t>
  </si>
  <si>
    <t xml:space="preserve">WEIGHT
(kg)
</t>
  </si>
  <si>
    <t>Total Weight(Kg)</t>
  </si>
  <si>
    <t xml:space="preserve">Top Slab </t>
  </si>
  <si>
    <t>S</t>
  </si>
  <si>
    <t>S1</t>
  </si>
  <si>
    <t>S2</t>
  </si>
  <si>
    <t>Bottom Slab</t>
  </si>
  <si>
    <t>S3</t>
  </si>
  <si>
    <t>S4</t>
  </si>
  <si>
    <t>Wing Walls</t>
  </si>
  <si>
    <t>W1</t>
  </si>
  <si>
    <t>W2</t>
  </si>
  <si>
    <t xml:space="preserve"> B1</t>
  </si>
  <si>
    <t xml:space="preserve"> B2</t>
  </si>
  <si>
    <t xml:space="preserve"> B3</t>
  </si>
  <si>
    <t xml:space="preserve"> B4</t>
  </si>
  <si>
    <t xml:space="preserve">Total Volume </t>
  </si>
  <si>
    <t>From TABLE of the Standard SD
Table of Renforcment for Edge beam from TABLE OF STANDARD. HEAD WALLS</t>
  </si>
  <si>
    <t xml:space="preserve"> V3</t>
  </si>
  <si>
    <t xml:space="preserve"> h3</t>
  </si>
  <si>
    <t>Num</t>
  </si>
  <si>
    <t>Total 
Lenghth</t>
  </si>
  <si>
    <t>total 
weight</t>
  </si>
  <si>
    <t>bar 12</t>
  </si>
  <si>
    <t>bar 16</t>
  </si>
  <si>
    <t>Station</t>
  </si>
  <si>
    <t>stat_1+226</t>
  </si>
  <si>
    <t>a2</t>
  </si>
  <si>
    <t>a2'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</si>
</sst>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&quot;Bar &quot;@"/>
    <numFmt numFmtId="167" formatCode="&quot; X &quot;0"/>
    <numFmt numFmtId="168" formatCode="0\+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Bookman Old Style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164" fontId="3" fillId="0" borderId="1" xfId="0" applyNumberFormat="1" applyFont="1" applyFill="1" applyBorder="1" applyAlignment="1">
      <alignment horizontal="center" vertical="center"/>
    </xf>
    <xf numFmtId="0" fontId="0" fillId="0" borderId="2" xfId="0" applyBorder="1" applyAlignment="1"/>
    <xf numFmtId="0" fontId="0" fillId="0" borderId="1" xfId="0" applyBorder="1" applyAlignment="1"/>
    <xf numFmtId="0" fontId="0" fillId="0" borderId="0" xfId="0" applyAlignment="1"/>
    <xf numFmtId="165" fontId="0" fillId="0" borderId="1" xfId="0" applyNumberFormat="1" applyBorder="1"/>
    <xf numFmtId="2" fontId="0" fillId="0" borderId="1" xfId="0" applyNumberFormat="1" applyBorder="1"/>
    <xf numFmtId="0" fontId="0" fillId="0" borderId="0" xfId="0" applyAlignment="1">
      <alignment horizontal="center" vertical="center"/>
    </xf>
    <xf numFmtId="2" fontId="0" fillId="0" borderId="2" xfId="0" applyNumberFormat="1" applyBorder="1" applyAlignment="1"/>
    <xf numFmtId="2" fontId="2" fillId="3" borderId="1" xfId="0" applyNumberFormat="1" applyFont="1" applyFill="1" applyBorder="1"/>
    <xf numFmtId="2" fontId="2" fillId="0" borderId="1" xfId="0" applyNumberFormat="1" applyFont="1" applyFill="1" applyBorder="1"/>
    <xf numFmtId="0" fontId="0" fillId="0" borderId="6" xfId="0" applyFill="1" applyBorder="1"/>
    <xf numFmtId="2" fontId="0" fillId="0" borderId="0" xfId="0" applyNumberFormat="1"/>
    <xf numFmtId="4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66" fontId="0" fillId="0" borderId="11" xfId="0" applyNumberFormat="1" applyBorder="1"/>
    <xf numFmtId="0" fontId="0" fillId="0" borderId="11" xfId="0" applyBorder="1" applyAlignment="1"/>
    <xf numFmtId="167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4" fontId="3" fillId="0" borderId="11" xfId="0" applyNumberFormat="1" applyFont="1" applyFill="1" applyBorder="1" applyAlignment="1">
      <alignment horizontal="center" vertical="center"/>
    </xf>
    <xf numFmtId="166" fontId="0" fillId="0" borderId="1" xfId="0" applyNumberFormat="1" applyBorder="1"/>
    <xf numFmtId="167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wrapText="1"/>
    </xf>
    <xf numFmtId="168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2" fontId="2" fillId="0" borderId="3" xfId="0" applyNumberFormat="1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10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6" fillId="4" borderId="2" xfId="0" applyFont="1" applyFill="1" applyBorder="1" applyAlignment="1">
      <alignment horizontal="center"/>
    </xf>
    <xf numFmtId="0" fontId="8" fillId="0" borderId="11" xfId="0" applyFont="1" applyBorder="1" applyAlignment="1">
      <alignment horizontal="center" vertical="center"/>
    </xf>
    <xf numFmtId="165" fontId="3" fillId="0" borderId="11" xfId="0" applyNumberFormat="1" applyFont="1" applyFill="1" applyBorder="1" applyAlignment="1">
      <alignment horizontal="center" vertical="center"/>
    </xf>
    <xf numFmtId="165" fontId="3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3" fillId="0" borderId="2" xfId="0" applyNumberFormat="1" applyFont="1" applyFill="1" applyBorder="1" applyAlignment="1">
      <alignment horizontal="center" vertical="center"/>
    </xf>
    <xf numFmtId="165" fontId="3" fillId="0" borderId="6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166" fontId="0" fillId="0" borderId="11" xfId="0" applyNumberFormat="1" applyBorder="1" applyAlignment="1">
      <alignment vertical="center"/>
    </xf>
    <xf numFmtId="0" fontId="0" fillId="0" borderId="13" xfId="0" applyBorder="1" applyAlignment="1">
      <alignment horizontal="center"/>
    </xf>
    <xf numFmtId="0" fontId="1" fillId="4" borderId="12" xfId="0" applyFont="1" applyFill="1" applyBorder="1" applyAlignment="1">
      <alignment horizontal="center" wrapText="1"/>
    </xf>
    <xf numFmtId="0" fontId="1" fillId="4" borderId="13" xfId="0" applyFont="1" applyFill="1" applyBorder="1" applyAlignment="1">
      <alignment horizontal="center" wrapText="1"/>
    </xf>
    <xf numFmtId="0" fontId="1" fillId="4" borderId="14" xfId="0" applyFont="1" applyFill="1" applyBorder="1" applyAlignment="1">
      <alignment horizontal="center" wrapText="1"/>
    </xf>
    <xf numFmtId="0" fontId="1" fillId="4" borderId="15" xfId="0" applyFont="1" applyFill="1" applyBorder="1" applyAlignment="1">
      <alignment horizontal="center" wrapText="1"/>
    </xf>
    <xf numFmtId="0" fontId="1" fillId="4" borderId="16" xfId="0" applyFont="1" applyFill="1" applyBorder="1" applyAlignment="1">
      <alignment horizontal="center" wrapText="1"/>
    </xf>
    <xf numFmtId="0" fontId="1" fillId="4" borderId="17" xfId="0" applyFont="1" applyFill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0</xdr:rowOff>
        </xdr:from>
        <xdr:to>
          <xdr:col>4</xdr:col>
          <xdr:colOff>619125</xdr:colOff>
          <xdr:row>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A_end1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9525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0</xdr:rowOff>
        </xdr:from>
        <xdr:to>
          <xdr:col>4</xdr:col>
          <xdr:colOff>619125</xdr:colOff>
          <xdr:row>0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A_end2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12</xdr:row>
          <xdr:rowOff>0</xdr:rowOff>
        </xdr:from>
        <xdr:to>
          <xdr:col>8</xdr:col>
          <xdr:colOff>600075</xdr:colOff>
          <xdr:row>12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A_wing1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12</xdr:row>
          <xdr:rowOff>0</xdr:rowOff>
        </xdr:from>
        <xdr:to>
          <xdr:col>8</xdr:col>
          <xdr:colOff>600075</xdr:colOff>
          <xdr:row>12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A_wing2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0</xdr:rowOff>
        </xdr:from>
        <xdr:to>
          <xdr:col>4</xdr:col>
          <xdr:colOff>609600</xdr:colOff>
          <xdr:row>0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A_midd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0</xdr:rowOff>
        </xdr:from>
        <xdr:to>
          <xdr:col>4</xdr:col>
          <xdr:colOff>600075</xdr:colOff>
          <xdr:row>12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AC_end1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0</xdr:rowOff>
        </xdr:from>
        <xdr:to>
          <xdr:col>4</xdr:col>
          <xdr:colOff>600075</xdr:colOff>
          <xdr:row>12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AC_end2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40</xdr:row>
          <xdr:rowOff>123825</xdr:rowOff>
        </xdr:from>
        <xdr:to>
          <xdr:col>9</xdr:col>
          <xdr:colOff>9525</xdr:colOff>
          <xdr:row>41</xdr:row>
          <xdr:rowOff>171450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cpy_1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42</xdr:row>
          <xdr:rowOff>85725</xdr:rowOff>
        </xdr:from>
        <xdr:to>
          <xdr:col>9</xdr:col>
          <xdr:colOff>9525</xdr:colOff>
          <xdr:row>43</xdr:row>
          <xdr:rowOff>133350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cpy_2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44</xdr:row>
          <xdr:rowOff>57150</xdr:rowOff>
        </xdr:from>
        <xdr:to>
          <xdr:col>9</xdr:col>
          <xdr:colOff>9525</xdr:colOff>
          <xdr:row>45</xdr:row>
          <xdr:rowOff>104775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46</xdr:row>
          <xdr:rowOff>19050</xdr:rowOff>
        </xdr:from>
        <xdr:to>
          <xdr:col>9</xdr:col>
          <xdr:colOff>9525</xdr:colOff>
          <xdr:row>47</xdr:row>
          <xdr:rowOff>66675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47</xdr:row>
          <xdr:rowOff>152400</xdr:rowOff>
        </xdr:from>
        <xdr:to>
          <xdr:col>8</xdr:col>
          <xdr:colOff>609600</xdr:colOff>
          <xdr:row>49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50</xdr:row>
          <xdr:rowOff>19050</xdr:rowOff>
        </xdr:from>
        <xdr:to>
          <xdr:col>8</xdr:col>
          <xdr:colOff>590550</xdr:colOff>
          <xdr:row>51</xdr:row>
          <xdr:rowOff>66675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52</xdr:row>
          <xdr:rowOff>0</xdr:rowOff>
        </xdr:from>
        <xdr:to>
          <xdr:col>8</xdr:col>
          <xdr:colOff>590550</xdr:colOff>
          <xdr:row>53</xdr:row>
          <xdr:rowOff>47625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54</xdr:row>
          <xdr:rowOff>47625</xdr:rowOff>
        </xdr:from>
        <xdr:to>
          <xdr:col>8</xdr:col>
          <xdr:colOff>590550</xdr:colOff>
          <xdr:row>55</xdr:row>
          <xdr:rowOff>95250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56</xdr:row>
          <xdr:rowOff>19050</xdr:rowOff>
        </xdr:from>
        <xdr:to>
          <xdr:col>8</xdr:col>
          <xdr:colOff>561975</xdr:colOff>
          <xdr:row>57</xdr:row>
          <xdr:rowOff>66675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cpy_9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8</xdr:row>
          <xdr:rowOff>76200</xdr:rowOff>
        </xdr:from>
        <xdr:to>
          <xdr:col>10</xdr:col>
          <xdr:colOff>190500</xdr:colOff>
          <xdr:row>9</xdr:row>
          <xdr:rowOff>123825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1"/>
  <sheetViews>
    <sheetView workbookViewId="0">
      <selection activeCell="C15" sqref="C15"/>
    </sheetView>
  </sheetViews>
  <sheetFormatPr defaultRowHeight="15" x14ac:dyDescent="0.25"/>
  <cols>
    <col min="2" max="2" width="19.140625" customWidth="1"/>
    <col min="3" max="3" width="13.7109375" customWidth="1"/>
    <col min="4" max="4" width="14.85546875" customWidth="1"/>
    <col min="5" max="5" width="13" customWidth="1"/>
  </cols>
  <sheetData>
    <row r="2" spans="2:11" x14ac:dyDescent="0.25">
      <c r="B2" s="45"/>
      <c r="C2" s="44" t="s">
        <v>0</v>
      </c>
      <c r="D2" s="44"/>
      <c r="E2" s="44"/>
    </row>
    <row r="3" spans="2:11" x14ac:dyDescent="0.25">
      <c r="B3" s="45"/>
      <c r="C3" s="2" t="s">
        <v>1</v>
      </c>
      <c r="D3" s="2" t="s">
        <v>2</v>
      </c>
      <c r="E3" s="2" t="s">
        <v>3</v>
      </c>
    </row>
    <row r="4" spans="2:11" x14ac:dyDescent="0.25">
      <c r="B4" s="1" t="s">
        <v>4</v>
      </c>
      <c r="C4" s="1">
        <v>2</v>
      </c>
      <c r="D4" s="1">
        <v>2</v>
      </c>
      <c r="E4" s="1">
        <v>3.5</v>
      </c>
      <c r="I4" t="s">
        <v>1</v>
      </c>
      <c r="J4" t="s">
        <v>2</v>
      </c>
      <c r="K4" t="s">
        <v>3</v>
      </c>
    </row>
    <row r="5" spans="2:11" x14ac:dyDescent="0.25">
      <c r="B5" s="1" t="s">
        <v>5</v>
      </c>
      <c r="C5" s="1">
        <v>2</v>
      </c>
      <c r="D5" s="1">
        <v>2.5</v>
      </c>
      <c r="E5" s="1">
        <v>3.5</v>
      </c>
      <c r="I5">
        <f>(2*(4-C8)*C4*C9)+(2*4-C8)*(C5+2*C9)</f>
        <v>27.04</v>
      </c>
      <c r="J5">
        <f>(2*(4-D8)*D4*D9)+(2*4-D8)*(D5+2*D9)</f>
        <v>30.84</v>
      </c>
      <c r="K5">
        <f>(2*(4-E8)*E4*E9)+(2*4-E8)*(E5+2*E9)</f>
        <v>42.404999999999994</v>
      </c>
    </row>
    <row r="6" spans="2:11" x14ac:dyDescent="0.25">
      <c r="B6" s="1" t="s">
        <v>6</v>
      </c>
      <c r="C6" s="1">
        <v>1</v>
      </c>
      <c r="D6" s="1">
        <v>1</v>
      </c>
      <c r="E6" s="1">
        <v>1.8</v>
      </c>
      <c r="I6">
        <f>2*C6*C5*C8</f>
        <v>1.6</v>
      </c>
      <c r="J6">
        <f>2*D6*D5*D8</f>
        <v>2</v>
      </c>
      <c r="K6">
        <f>2*E6*E5*E8</f>
        <v>5.67</v>
      </c>
    </row>
    <row r="7" spans="2:11" x14ac:dyDescent="0.25">
      <c r="B7" s="1" t="s">
        <v>7</v>
      </c>
      <c r="C7" s="1">
        <v>0.35</v>
      </c>
      <c r="D7" s="1">
        <v>0.35</v>
      </c>
      <c r="E7" s="1">
        <v>0.45</v>
      </c>
      <c r="I7">
        <f>((C4-2*C9)*(C5-2*C9))*C7</f>
        <v>0.504</v>
      </c>
      <c r="J7">
        <f>((D4-2*D9)*(D5-2*D9))*D7</f>
        <v>0.71399999999999997</v>
      </c>
      <c r="K7">
        <f>((E4-2*E9)*(E5-2*E9))*E7</f>
        <v>3.2805000000000004</v>
      </c>
    </row>
    <row r="8" spans="2:11" x14ac:dyDescent="0.25">
      <c r="B8" s="1" t="s">
        <v>8</v>
      </c>
      <c r="C8" s="1">
        <v>0.4</v>
      </c>
      <c r="D8" s="1">
        <v>0.4</v>
      </c>
      <c r="E8" s="1">
        <v>0.45</v>
      </c>
      <c r="I8">
        <f>SUM(I5:I7)</f>
        <v>29.144000000000002</v>
      </c>
      <c r="J8">
        <f>SUM(J5:J7)</f>
        <v>33.554000000000002</v>
      </c>
      <c r="K8">
        <f>SUM(K5:K7)</f>
        <v>51.355499999999999</v>
      </c>
    </row>
    <row r="9" spans="2:11" x14ac:dyDescent="0.25">
      <c r="B9" s="1" t="s">
        <v>9</v>
      </c>
      <c r="C9" s="1">
        <v>0.4</v>
      </c>
      <c r="D9" s="1">
        <v>0.4</v>
      </c>
      <c r="E9" s="1">
        <v>0.4</v>
      </c>
    </row>
    <row r="10" spans="2:11" x14ac:dyDescent="0.25">
      <c r="B10" s="3" t="s">
        <v>10</v>
      </c>
      <c r="C10" s="1">
        <v>7317.81</v>
      </c>
      <c r="D10" s="1">
        <v>9370.1</v>
      </c>
      <c r="E10" s="1">
        <v>16704.71</v>
      </c>
    </row>
    <row r="11" spans="2:11" x14ac:dyDescent="0.25">
      <c r="B11" s="3" t="s">
        <v>11</v>
      </c>
      <c r="C11" s="1">
        <f>6*I8</f>
        <v>174.864</v>
      </c>
      <c r="D11" s="1">
        <f>5*J8</f>
        <v>167.77</v>
      </c>
      <c r="E11" s="1">
        <f>4*K8</f>
        <v>205.422</v>
      </c>
      <c r="J11">
        <f>C11+D11+E11</f>
        <v>548.05600000000004</v>
      </c>
    </row>
  </sheetData>
  <mergeCells count="2">
    <mergeCell ref="C2:E2"/>
    <mergeCell ref="B2:B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58"/>
  <sheetViews>
    <sheetView topLeftCell="A34" zoomScale="85" zoomScaleNormal="85" workbookViewId="0">
      <selection activeCell="C15" sqref="C15"/>
    </sheetView>
  </sheetViews>
  <sheetFormatPr defaultRowHeight="15" x14ac:dyDescent="0.25"/>
  <cols>
    <col min="1" max="1" width="8" customWidth="1"/>
  </cols>
  <sheetData>
    <row r="1" spans="1:15" x14ac:dyDescent="0.25">
      <c r="C1">
        <f>C2*2</f>
        <v>1000</v>
      </c>
    </row>
    <row r="2" spans="1:15" x14ac:dyDescent="0.25">
      <c r="B2">
        <v>0.5</v>
      </c>
      <c r="C2">
        <f>B2*1000</f>
        <v>500</v>
      </c>
      <c r="D2">
        <f>C2/2</f>
        <v>250</v>
      </c>
    </row>
    <row r="4" spans="1:15" x14ac:dyDescent="0.25">
      <c r="B4" s="48" t="s">
        <v>16</v>
      </c>
      <c r="C4" s="48"/>
    </row>
    <row r="7" spans="1:15" x14ac:dyDescent="0.25">
      <c r="B7" s="45" t="s">
        <v>17</v>
      </c>
      <c r="C7" s="45"/>
      <c r="D7" s="45"/>
      <c r="E7" s="45"/>
      <c r="F7" s="45"/>
      <c r="G7" s="45"/>
      <c r="H7" s="45"/>
      <c r="I7" s="45"/>
    </row>
    <row r="8" spans="1:15" x14ac:dyDescent="0.25">
      <c r="B8" s="45" t="s">
        <v>18</v>
      </c>
      <c r="C8" s="45"/>
      <c r="D8" s="4" t="s">
        <v>19</v>
      </c>
      <c r="E8" s="45" t="s">
        <v>20</v>
      </c>
      <c r="F8" s="45"/>
      <c r="G8" s="4" t="s">
        <v>21</v>
      </c>
      <c r="H8" s="4" t="s">
        <v>22</v>
      </c>
      <c r="I8" s="4" t="s">
        <v>23</v>
      </c>
    </row>
    <row r="9" spans="1:15" x14ac:dyDescent="0.25">
      <c r="A9" s="49" t="s">
        <v>13</v>
      </c>
      <c r="B9" s="4" t="s">
        <v>14</v>
      </c>
      <c r="C9" s="4" t="s">
        <v>15</v>
      </c>
      <c r="D9" s="4"/>
      <c r="E9" s="4" t="s">
        <v>14</v>
      </c>
      <c r="F9" s="4" t="s">
        <v>15</v>
      </c>
      <c r="G9" s="4"/>
      <c r="H9" s="4" t="s">
        <v>25</v>
      </c>
      <c r="I9" s="4" t="s">
        <v>24</v>
      </c>
    </row>
    <row r="10" spans="1:15" x14ac:dyDescent="0.25">
      <c r="A10" s="49"/>
      <c r="B10" s="4">
        <v>1380</v>
      </c>
      <c r="C10" s="4">
        <v>1420</v>
      </c>
      <c r="D10" s="4">
        <v>2400</v>
      </c>
      <c r="E10" s="4">
        <v>1380</v>
      </c>
      <c r="F10" s="4">
        <v>1420</v>
      </c>
      <c r="G10" s="4">
        <v>2400</v>
      </c>
      <c r="H10" s="6">
        <v>830</v>
      </c>
      <c r="I10" s="4">
        <v>2540</v>
      </c>
    </row>
    <row r="12" spans="1:15" x14ac:dyDescent="0.25">
      <c r="A12" s="5" t="s">
        <v>12</v>
      </c>
      <c r="B12" s="4">
        <f>B10-$C$2</f>
        <v>880</v>
      </c>
      <c r="C12" s="4">
        <f>C10-$C$2</f>
        <v>920</v>
      </c>
      <c r="D12" s="4">
        <f>D10-C1</f>
        <v>1400</v>
      </c>
      <c r="E12" s="4">
        <f>E10-$C$2</f>
        <v>880</v>
      </c>
      <c r="F12" s="4">
        <f>F10-$C$2</f>
        <v>920</v>
      </c>
      <c r="G12" s="4">
        <f>G10-C1</f>
        <v>1400</v>
      </c>
      <c r="H12" s="6">
        <v>830</v>
      </c>
      <c r="I12" s="4">
        <f>I10-C1</f>
        <v>1540</v>
      </c>
    </row>
    <row r="13" spans="1:15" x14ac:dyDescent="0.25">
      <c r="A13" t="s">
        <v>26</v>
      </c>
      <c r="B13">
        <v>100</v>
      </c>
      <c r="C13">
        <v>100</v>
      </c>
    </row>
    <row r="14" spans="1:15" x14ac:dyDescent="0.25">
      <c r="C14">
        <f>SUM(B12:C12)</f>
        <v>1800</v>
      </c>
      <c r="F14">
        <f>SUM(E12:F12)</f>
        <v>1800</v>
      </c>
      <c r="H14" t="s">
        <v>27</v>
      </c>
      <c r="N14" s="4" t="s">
        <v>66</v>
      </c>
      <c r="O14" s="4">
        <v>0.23</v>
      </c>
    </row>
    <row r="16" spans="1:15" x14ac:dyDescent="0.25">
      <c r="N16" s="4" t="s">
        <v>64</v>
      </c>
      <c r="O16" s="4" t="s">
        <v>65</v>
      </c>
    </row>
    <row r="17" spans="2:15" x14ac:dyDescent="0.25">
      <c r="G17">
        <f>I10-300</f>
        <v>2240</v>
      </c>
      <c r="L17" s="4" t="s">
        <v>90</v>
      </c>
      <c r="M17" s="4">
        <v>0.35</v>
      </c>
      <c r="N17" s="4">
        <v>0.6</v>
      </c>
      <c r="O17" s="4">
        <f>2*O14+1.72</f>
        <v>2.1800000000000002</v>
      </c>
    </row>
    <row r="18" spans="2:15" x14ac:dyDescent="0.25">
      <c r="G18">
        <f>I12-300</f>
        <v>1240</v>
      </c>
    </row>
    <row r="19" spans="2:15" x14ac:dyDescent="0.25">
      <c r="G19">
        <f>I12-300</f>
        <v>1240</v>
      </c>
      <c r="L19" s="4" t="s">
        <v>91</v>
      </c>
      <c r="M19" s="4">
        <v>0.35</v>
      </c>
    </row>
    <row r="20" spans="2:15" x14ac:dyDescent="0.25">
      <c r="L20" s="4" t="s">
        <v>92</v>
      </c>
      <c r="M20" s="4">
        <v>0.3</v>
      </c>
    </row>
    <row r="21" spans="2:15" x14ac:dyDescent="0.25">
      <c r="B21" s="46" t="s">
        <v>30</v>
      </c>
      <c r="C21" s="46"/>
      <c r="D21" s="46"/>
      <c r="E21" s="46"/>
      <c r="M21" s="4">
        <f>AVERAGE(M19:M20)</f>
        <v>0.32499999999999996</v>
      </c>
    </row>
    <row r="22" spans="2:15" x14ac:dyDescent="0.25">
      <c r="B22" s="47" t="s">
        <v>35</v>
      </c>
      <c r="C22" s="4" t="s">
        <v>28</v>
      </c>
      <c r="D22" s="45" t="s">
        <v>36</v>
      </c>
      <c r="E22" s="45"/>
    </row>
    <row r="23" spans="2:15" x14ac:dyDescent="0.25">
      <c r="B23" s="45"/>
      <c r="C23" s="4" t="s">
        <v>29</v>
      </c>
      <c r="D23" s="4">
        <f>(0.025+0.35)*(100/1000)</f>
        <v>3.7500000000000006E-2</v>
      </c>
      <c r="E23" s="4">
        <f>D23*2</f>
        <v>7.5000000000000011E-2</v>
      </c>
    </row>
    <row r="24" spans="2:15" x14ac:dyDescent="0.25">
      <c r="B24" s="4" t="s">
        <v>32</v>
      </c>
      <c r="C24" s="4" t="s">
        <v>31</v>
      </c>
      <c r="D24" s="4" t="s">
        <v>33</v>
      </c>
      <c r="E24" s="4"/>
    </row>
    <row r="25" spans="2:15" x14ac:dyDescent="0.25">
      <c r="B25" s="4">
        <f>(1.149+0.3+0.35+0.025)*(3+0.5)</f>
        <v>6.3839999999999995</v>
      </c>
      <c r="C25" s="4">
        <f>1.149*3</f>
        <v>3.4470000000000001</v>
      </c>
      <c r="D25" s="4">
        <f>B25-C25</f>
        <v>2.9369999999999994</v>
      </c>
      <c r="E25" s="4">
        <f>D25-(0.1*1.5*2)</f>
        <v>2.6369999999999996</v>
      </c>
    </row>
    <row r="26" spans="2:15" x14ac:dyDescent="0.25">
      <c r="B26" s="45" t="s">
        <v>34</v>
      </c>
      <c r="C26" s="45"/>
      <c r="D26" s="45"/>
      <c r="E26" s="4">
        <f>SUM(E23:E25)</f>
        <v>2.7119999999999997</v>
      </c>
    </row>
    <row r="28" spans="2:15" x14ac:dyDescent="0.25">
      <c r="B28" s="46" t="s">
        <v>37</v>
      </c>
      <c r="C28" s="46"/>
      <c r="D28" s="46"/>
      <c r="E28" s="46"/>
      <c r="G28" s="46" t="s">
        <v>80</v>
      </c>
      <c r="H28" s="46"/>
      <c r="I28" s="46"/>
      <c r="J28" s="46"/>
    </row>
    <row r="29" spans="2:15" x14ac:dyDescent="0.25">
      <c r="B29" s="47" t="s">
        <v>35</v>
      </c>
      <c r="C29" s="4" t="s">
        <v>28</v>
      </c>
      <c r="D29" s="45" t="s">
        <v>36</v>
      </c>
      <c r="E29" s="45"/>
      <c r="G29" s="4" t="s">
        <v>75</v>
      </c>
      <c r="H29" s="4"/>
      <c r="I29" s="4" t="s">
        <v>76</v>
      </c>
      <c r="J29" s="4" t="s">
        <v>77</v>
      </c>
    </row>
    <row r="30" spans="2:15" x14ac:dyDescent="0.25">
      <c r="B30" s="45"/>
      <c r="C30" s="4" t="s">
        <v>29</v>
      </c>
      <c r="D30" s="4">
        <f>(0.025+0.35)*(100/1000)</f>
        <v>3.7500000000000006E-2</v>
      </c>
      <c r="E30" s="4">
        <f>D30*2</f>
        <v>7.5000000000000011E-2</v>
      </c>
      <c r="G30" s="4" t="s">
        <v>78</v>
      </c>
      <c r="H30" s="4"/>
      <c r="I30" s="4" t="s">
        <v>61</v>
      </c>
      <c r="J30" s="4"/>
    </row>
    <row r="31" spans="2:15" x14ac:dyDescent="0.25">
      <c r="B31" s="4" t="s">
        <v>32</v>
      </c>
      <c r="C31" s="4" t="s">
        <v>31</v>
      </c>
      <c r="D31" s="4" t="s">
        <v>33</v>
      </c>
      <c r="E31" s="4"/>
      <c r="G31" s="56">
        <f t="shared" ref="G31" si="0">R39</f>
        <v>11.868713999999997</v>
      </c>
      <c r="H31" s="57"/>
      <c r="I31" s="4">
        <v>20</v>
      </c>
      <c r="J31" s="4">
        <f>I31*E33</f>
        <v>54.239999999999995</v>
      </c>
    </row>
    <row r="32" spans="2:15" x14ac:dyDescent="0.25">
      <c r="B32" s="4">
        <f>(1.149+0.3+0.35+0.025)*(3+0.5)</f>
        <v>6.3839999999999995</v>
      </c>
      <c r="C32" s="4">
        <f>1.149*3</f>
        <v>3.4470000000000001</v>
      </c>
      <c r="D32" s="4">
        <f>B32-C32</f>
        <v>2.9369999999999994</v>
      </c>
      <c r="E32" s="4">
        <f>D32-(0.1*1.5*2)</f>
        <v>2.6369999999999996</v>
      </c>
      <c r="G32" s="53" t="s">
        <v>79</v>
      </c>
      <c r="H32" s="54"/>
      <c r="I32" s="55"/>
      <c r="J32" s="18">
        <f>J31+G31+E37</f>
        <v>66.468513999999999</v>
      </c>
    </row>
    <row r="33" spans="2:19" x14ac:dyDescent="0.25">
      <c r="B33" s="45" t="s">
        <v>34</v>
      </c>
      <c r="C33" s="45"/>
      <c r="D33" s="45"/>
      <c r="E33" s="4">
        <f>SUM(E30:E32)</f>
        <v>2.7119999999999997</v>
      </c>
    </row>
    <row r="35" spans="2:19" x14ac:dyDescent="0.25">
      <c r="B35" s="46" t="s">
        <v>47</v>
      </c>
      <c r="C35" s="46"/>
      <c r="D35" s="46"/>
      <c r="E35" s="46"/>
    </row>
    <row r="36" spans="2:19" x14ac:dyDescent="0.25">
      <c r="B36" s="4" t="s">
        <v>48</v>
      </c>
      <c r="C36" s="4" t="s">
        <v>49</v>
      </c>
      <c r="D36" s="4" t="s">
        <v>50</v>
      </c>
      <c r="E36" s="4" t="s">
        <v>51</v>
      </c>
    </row>
    <row r="37" spans="2:19" x14ac:dyDescent="0.25">
      <c r="B37" s="4">
        <v>0.2</v>
      </c>
      <c r="C37" s="4">
        <v>0.5</v>
      </c>
      <c r="D37" s="4">
        <f>1.149+0.35+0.3</f>
        <v>1.7990000000000002</v>
      </c>
      <c r="E37" s="4">
        <f>2*D37*C37*B37</f>
        <v>0.35980000000000006</v>
      </c>
      <c r="G37" s="52" t="s">
        <v>103</v>
      </c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</row>
    <row r="38" spans="2:19" x14ac:dyDescent="0.25">
      <c r="G38" s="7" t="s">
        <v>83</v>
      </c>
      <c r="H38" s="7" t="s">
        <v>84</v>
      </c>
      <c r="I38" s="7" t="s">
        <v>4</v>
      </c>
      <c r="J38" s="7" t="s">
        <v>86</v>
      </c>
      <c r="K38" s="7" t="s">
        <v>65</v>
      </c>
      <c r="L38" s="7" t="s">
        <v>87</v>
      </c>
      <c r="M38" s="7" t="s">
        <v>88</v>
      </c>
      <c r="N38" s="7" t="s">
        <v>89</v>
      </c>
      <c r="O38" s="4" t="s">
        <v>93</v>
      </c>
      <c r="P38" s="7" t="s">
        <v>94</v>
      </c>
      <c r="Q38" s="7" t="s">
        <v>95</v>
      </c>
      <c r="R38" s="7" t="s">
        <v>51</v>
      </c>
      <c r="S38" s="16"/>
    </row>
    <row r="39" spans="2:19" x14ac:dyDescent="0.25">
      <c r="B39" s="50" t="s">
        <v>100</v>
      </c>
      <c r="G39" s="4">
        <v>1.7</v>
      </c>
      <c r="H39" s="4">
        <v>0.9</v>
      </c>
      <c r="I39" s="4">
        <v>2.871</v>
      </c>
      <c r="J39" s="4">
        <f>M21</f>
        <v>0.32499999999999996</v>
      </c>
      <c r="K39" s="4">
        <f>O17</f>
        <v>2.1800000000000002</v>
      </c>
      <c r="L39" s="4">
        <f>O17-N17</f>
        <v>1.58</v>
      </c>
      <c r="M39" s="4">
        <f>AVERAGE(K39:L39)</f>
        <v>1.8800000000000001</v>
      </c>
      <c r="N39" s="4">
        <f>I39*J39</f>
        <v>0.93307499999999988</v>
      </c>
      <c r="O39" s="4">
        <f>AVERAGE(G39:H39)*I39</f>
        <v>3.7323</v>
      </c>
      <c r="P39" s="4">
        <f>N39*M39</f>
        <v>1.7541809999999998</v>
      </c>
      <c r="Q39" s="4">
        <f>J39*O39</f>
        <v>1.2129974999999997</v>
      </c>
      <c r="R39" s="19">
        <f>4*SUM(P39:Q39)</f>
        <v>11.868713999999997</v>
      </c>
    </row>
    <row r="40" spans="2:19" x14ac:dyDescent="0.25">
      <c r="B40" s="51"/>
      <c r="J40" t="s">
        <v>85</v>
      </c>
    </row>
    <row r="41" spans="2:19" x14ac:dyDescent="0.25">
      <c r="B41">
        <v>5.6189</v>
      </c>
      <c r="C41" t="s">
        <v>101</v>
      </c>
    </row>
    <row r="42" spans="2:19" x14ac:dyDescent="0.25">
      <c r="B42">
        <v>5.5122</v>
      </c>
      <c r="C42" t="s">
        <v>101</v>
      </c>
    </row>
    <row r="44" spans="2:19" x14ac:dyDescent="0.25">
      <c r="B44">
        <f>SUM(B41:B43)</f>
        <v>11.1311</v>
      </c>
    </row>
    <row r="49" spans="2:2" x14ac:dyDescent="0.25">
      <c r="B49">
        <v>200</v>
      </c>
    </row>
    <row r="50" spans="2:2" x14ac:dyDescent="0.25">
      <c r="B50">
        <v>250</v>
      </c>
    </row>
    <row r="51" spans="2:2" x14ac:dyDescent="0.25">
      <c r="B51">
        <v>200</v>
      </c>
    </row>
    <row r="52" spans="2:2" x14ac:dyDescent="0.25">
      <c r="B52">
        <v>250</v>
      </c>
    </row>
    <row r="53" spans="2:2" x14ac:dyDescent="0.25">
      <c r="B53">
        <v>200</v>
      </c>
    </row>
    <row r="54" spans="2:2" x14ac:dyDescent="0.25">
      <c r="B54">
        <v>100</v>
      </c>
    </row>
    <row r="55" spans="2:2" x14ac:dyDescent="0.25">
      <c r="B55">
        <v>100</v>
      </c>
    </row>
    <row r="56" spans="2:2" x14ac:dyDescent="0.25">
      <c r="B56">
        <v>200</v>
      </c>
    </row>
    <row r="58" spans="2:2" x14ac:dyDescent="0.25">
      <c r="B58">
        <f>SUM(B49:B56)</f>
        <v>1500</v>
      </c>
    </row>
  </sheetData>
  <mergeCells count="19">
    <mergeCell ref="B39:B40"/>
    <mergeCell ref="G37:R37"/>
    <mergeCell ref="G28:J28"/>
    <mergeCell ref="G32:I32"/>
    <mergeCell ref="G31:H31"/>
    <mergeCell ref="B35:E35"/>
    <mergeCell ref="B33:D33"/>
    <mergeCell ref="B29:B30"/>
    <mergeCell ref="D29:E29"/>
    <mergeCell ref="B4:C4"/>
    <mergeCell ref="B8:C8"/>
    <mergeCell ref="E8:F8"/>
    <mergeCell ref="B7:I7"/>
    <mergeCell ref="A9:A10"/>
    <mergeCell ref="B21:E21"/>
    <mergeCell ref="B26:D26"/>
    <mergeCell ref="B22:B23"/>
    <mergeCell ref="D22:E22"/>
    <mergeCell ref="B28:E28"/>
  </mergeCells>
  <pageMargins left="0.7" right="0.7" top="0.75" bottom="0.75" header="0.3" footer="0.3"/>
  <pageSetup orientation="portrait" horizontalDpi="0" verticalDpi="0" r:id="rId1"/>
  <ignoredErrors>
    <ignoredError sqref="D12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W71"/>
  <sheetViews>
    <sheetView zoomScale="70" zoomScaleNormal="70" workbookViewId="0">
      <selection activeCell="I12" sqref="I12"/>
    </sheetView>
  </sheetViews>
  <sheetFormatPr defaultRowHeight="15" x14ac:dyDescent="0.25"/>
  <cols>
    <col min="1" max="1" width="0.140625" customWidth="1"/>
    <col min="2" max="2" width="13.85546875" customWidth="1"/>
    <col min="3" max="3" width="11.140625" customWidth="1"/>
    <col min="4" max="4" width="11.140625" bestFit="1" customWidth="1"/>
    <col min="5" max="5" width="9.28515625" customWidth="1"/>
    <col min="6" max="6" width="10.42578125" customWidth="1"/>
    <col min="7" max="7" width="11.5703125" customWidth="1"/>
    <col min="8" max="8" width="11.42578125" customWidth="1"/>
    <col min="9" max="9" width="13.28515625" customWidth="1"/>
    <col min="10" max="10" width="15.7109375" bestFit="1" customWidth="1"/>
    <col min="11" max="11" width="18.5703125" customWidth="1"/>
    <col min="12" max="12" width="12.28515625" customWidth="1"/>
    <col min="13" max="13" width="18.5703125" bestFit="1" customWidth="1"/>
    <col min="14" max="14" width="19.42578125" bestFit="1" customWidth="1"/>
    <col min="15" max="15" width="11.28515625" bestFit="1" customWidth="1"/>
    <col min="16" max="16" width="9" customWidth="1"/>
    <col min="17" max="17" width="12.28515625" bestFit="1" customWidth="1"/>
    <col min="20" max="21" width="15.28515625" bestFit="1" customWidth="1"/>
    <col min="22" max="22" width="14.85546875" customWidth="1"/>
  </cols>
  <sheetData>
    <row r="2" spans="2:23" x14ac:dyDescent="0.25">
      <c r="O2">
        <v>6.7699999999999996E-2</v>
      </c>
    </row>
    <row r="3" spans="2:23" x14ac:dyDescent="0.25">
      <c r="O3">
        <v>13.5379</v>
      </c>
      <c r="W3">
        <v>169.93</v>
      </c>
    </row>
    <row r="4" spans="2:23" x14ac:dyDescent="0.25">
      <c r="O4">
        <f>O2/O3</f>
        <v>5.0007756003516051E-3</v>
      </c>
      <c r="P4">
        <f>O4*100</f>
        <v>0.50007756003516046</v>
      </c>
    </row>
    <row r="5" spans="2:23" ht="24.75" customHeight="1" thickBot="1" x14ac:dyDescent="0.3">
      <c r="B5" s="69" t="s">
        <v>38</v>
      </c>
      <c r="C5" s="69"/>
      <c r="D5" s="69"/>
      <c r="E5" s="69"/>
      <c r="F5" s="69"/>
      <c r="G5" s="69"/>
      <c r="H5" s="69"/>
      <c r="I5" s="69"/>
      <c r="J5" s="69"/>
      <c r="K5" s="69"/>
    </row>
    <row r="6" spans="2:23" ht="64.5" thickTop="1" thickBot="1" x14ac:dyDescent="0.3">
      <c r="B6" s="25" t="s">
        <v>105</v>
      </c>
      <c r="C6" s="26" t="s">
        <v>39</v>
      </c>
      <c r="D6" s="26" t="s">
        <v>40</v>
      </c>
      <c r="E6" s="27" t="s">
        <v>41</v>
      </c>
      <c r="F6" s="28" t="s">
        <v>106</v>
      </c>
      <c r="G6" s="29" t="s">
        <v>42</v>
      </c>
      <c r="H6" s="30" t="s">
        <v>107</v>
      </c>
      <c r="I6" s="30" t="s">
        <v>44</v>
      </c>
      <c r="J6" s="30" t="s">
        <v>108</v>
      </c>
      <c r="K6" s="26" t="s">
        <v>109</v>
      </c>
    </row>
    <row r="7" spans="2:23" ht="15.75" thickTop="1" x14ac:dyDescent="0.25">
      <c r="B7" s="70" t="s">
        <v>110</v>
      </c>
      <c r="C7" s="31" t="s">
        <v>111</v>
      </c>
      <c r="D7" s="32">
        <v>12</v>
      </c>
      <c r="E7" s="39">
        <v>300</v>
      </c>
      <c r="F7" s="33">
        <v>1</v>
      </c>
      <c r="G7" s="39">
        <v>12</v>
      </c>
      <c r="H7" s="34">
        <v>2.4900000000000002</v>
      </c>
      <c r="I7" s="40">
        <f>G7*H7</f>
        <v>29.880000000000003</v>
      </c>
      <c r="J7" s="35">
        <f>IF(D7&gt;0,I7*PI()*(D7/1000)^2*7850/4,"")</f>
        <v>26.527884827065733</v>
      </c>
      <c r="K7" s="71">
        <f>SUM(J7:J10)</f>
        <v>2267.1457197007057</v>
      </c>
    </row>
    <row r="8" spans="2:23" x14ac:dyDescent="0.25">
      <c r="B8" s="62"/>
      <c r="C8" s="36" t="s">
        <v>111</v>
      </c>
      <c r="D8" s="4">
        <v>12</v>
      </c>
      <c r="E8" s="23">
        <v>300</v>
      </c>
      <c r="F8" s="37">
        <v>1</v>
      </c>
      <c r="G8" s="23">
        <v>12</v>
      </c>
      <c r="H8" s="9">
        <v>2.4900000000000002</v>
      </c>
      <c r="I8" s="41">
        <f t="shared" ref="I8:I10" si="0">G8*H8</f>
        <v>29.880000000000003</v>
      </c>
      <c r="J8" s="10">
        <f t="shared" ref="J8:J10" si="1">IF(D8&gt;0,I8*PI()*(D8/1000)^2*7850/4,"")</f>
        <v>26.527884827065733</v>
      </c>
      <c r="K8" s="72"/>
    </row>
    <row r="9" spans="2:23" x14ac:dyDescent="0.25">
      <c r="B9" s="62"/>
      <c r="C9" s="36" t="s">
        <v>112</v>
      </c>
      <c r="D9" s="4">
        <v>16</v>
      </c>
      <c r="E9" s="23">
        <v>150</v>
      </c>
      <c r="F9" s="37">
        <v>1</v>
      </c>
      <c r="G9" s="23">
        <v>167</v>
      </c>
      <c r="H9" s="9">
        <v>5</v>
      </c>
      <c r="I9" s="9">
        <f t="shared" si="0"/>
        <v>835</v>
      </c>
      <c r="J9" s="10">
        <f t="shared" si="1"/>
        <v>1317.9106845515325</v>
      </c>
      <c r="K9" s="72"/>
    </row>
    <row r="10" spans="2:23" x14ac:dyDescent="0.25">
      <c r="B10" s="62"/>
      <c r="C10" s="36" t="s">
        <v>113</v>
      </c>
      <c r="D10" s="4">
        <v>16</v>
      </c>
      <c r="E10" s="23">
        <v>150</v>
      </c>
      <c r="F10" s="37">
        <v>1</v>
      </c>
      <c r="G10" s="23">
        <v>167</v>
      </c>
      <c r="H10" s="9">
        <v>3.4</v>
      </c>
      <c r="I10" s="9">
        <f t="shared" si="0"/>
        <v>567.79999999999995</v>
      </c>
      <c r="J10" s="10">
        <f t="shared" si="1"/>
        <v>896.17926549504205</v>
      </c>
      <c r="K10" s="72"/>
    </row>
    <row r="11" spans="2:23" x14ac:dyDescent="0.25">
      <c r="B11" s="46"/>
      <c r="C11" s="46"/>
      <c r="D11" s="46"/>
      <c r="E11" s="46"/>
      <c r="F11" s="46"/>
      <c r="G11" s="46"/>
      <c r="H11" s="46"/>
      <c r="I11" s="46"/>
      <c r="J11" s="46"/>
      <c r="K11" s="46"/>
    </row>
    <row r="12" spans="2:23" x14ac:dyDescent="0.25">
      <c r="B12" s="68" t="s">
        <v>114</v>
      </c>
      <c r="C12" s="36" t="s">
        <v>111</v>
      </c>
      <c r="D12" s="4">
        <v>12</v>
      </c>
      <c r="E12" s="39">
        <v>300</v>
      </c>
      <c r="F12" s="33">
        <v>1</v>
      </c>
      <c r="G12" s="23">
        <v>13</v>
      </c>
      <c r="H12" s="34">
        <v>2.4900000000000002</v>
      </c>
      <c r="I12" s="40">
        <f t="shared" ref="I12:I15" si="2">G12*H12</f>
        <v>32.370000000000005</v>
      </c>
      <c r="J12" s="35">
        <f t="shared" ref="J12:J15" si="3">IF(D12&gt;0,I12*PI()*(D12/1000)^2*7850/4,"")</f>
        <v>28.738541895987879</v>
      </c>
      <c r="K12" s="74">
        <f t="shared" ref="K12" si="4">SUM(J12:J16)</f>
        <v>2087.0595380013356</v>
      </c>
    </row>
    <row r="13" spans="2:23" x14ac:dyDescent="0.25">
      <c r="B13" s="73"/>
      <c r="C13" s="36" t="s">
        <v>111</v>
      </c>
      <c r="D13" s="4">
        <v>12</v>
      </c>
      <c r="E13" s="23">
        <v>300</v>
      </c>
      <c r="F13" s="37">
        <v>1</v>
      </c>
      <c r="G13" s="23">
        <v>13</v>
      </c>
      <c r="H13" s="9">
        <v>2.4900000000000002</v>
      </c>
      <c r="I13" s="41">
        <f t="shared" si="2"/>
        <v>32.370000000000005</v>
      </c>
      <c r="J13" s="10">
        <f t="shared" si="3"/>
        <v>28.738541895987879</v>
      </c>
      <c r="K13" s="75"/>
    </row>
    <row r="14" spans="2:23" x14ac:dyDescent="0.25">
      <c r="B14" s="73"/>
      <c r="C14" s="36" t="s">
        <v>115</v>
      </c>
      <c r="D14" s="4">
        <v>16</v>
      </c>
      <c r="E14" s="23">
        <v>150</v>
      </c>
      <c r="F14" s="37">
        <v>1</v>
      </c>
      <c r="G14" s="23">
        <v>167</v>
      </c>
      <c r="H14" s="9">
        <v>3.6</v>
      </c>
      <c r="I14" s="9">
        <f t="shared" si="2"/>
        <v>601.20000000000005</v>
      </c>
      <c r="J14" s="10">
        <f t="shared" si="3"/>
        <v>948.89569287710344</v>
      </c>
      <c r="K14" s="75"/>
    </row>
    <row r="15" spans="2:23" x14ac:dyDescent="0.25">
      <c r="B15" s="73"/>
      <c r="C15" s="36" t="s">
        <v>116</v>
      </c>
      <c r="D15" s="4">
        <v>16</v>
      </c>
      <c r="E15" s="23">
        <v>160</v>
      </c>
      <c r="F15" s="37">
        <v>1</v>
      </c>
      <c r="G15" s="23">
        <v>167</v>
      </c>
      <c r="H15" s="9">
        <v>4.0999999999999996</v>
      </c>
      <c r="I15" s="9">
        <f t="shared" si="2"/>
        <v>684.69999999999993</v>
      </c>
      <c r="J15" s="10">
        <f t="shared" si="3"/>
        <v>1080.6867613322565</v>
      </c>
      <c r="K15" s="75"/>
    </row>
    <row r="16" spans="2:23" x14ac:dyDescent="0.25">
      <c r="B16" s="73"/>
      <c r="C16" s="36"/>
      <c r="D16" s="4"/>
      <c r="E16" s="24"/>
      <c r="F16" s="37"/>
      <c r="G16" s="23"/>
      <c r="H16" s="9"/>
      <c r="I16" s="23"/>
      <c r="J16" s="10" t="str">
        <f>IF(D16&gt;0,I16*PI()*(D16/1000)^2*7850/4,"")</f>
        <v/>
      </c>
      <c r="K16" s="71"/>
    </row>
    <row r="17" spans="2:11" x14ac:dyDescent="0.25">
      <c r="B17" s="46"/>
      <c r="C17" s="46"/>
      <c r="D17" s="46"/>
      <c r="E17" s="46"/>
      <c r="F17" s="46"/>
      <c r="G17" s="46"/>
      <c r="H17" s="46"/>
      <c r="I17" s="46"/>
      <c r="J17" s="46"/>
      <c r="K17" s="46"/>
    </row>
    <row r="18" spans="2:11" ht="15" customHeight="1" x14ac:dyDescent="0.25">
      <c r="B18" s="62" t="s">
        <v>117</v>
      </c>
      <c r="C18" s="36" t="s">
        <v>111</v>
      </c>
      <c r="D18" s="12">
        <v>12</v>
      </c>
      <c r="E18" s="23">
        <v>300</v>
      </c>
      <c r="F18" s="33">
        <v>1</v>
      </c>
      <c r="G18" s="23">
        <v>8</v>
      </c>
      <c r="H18" s="23">
        <v>2.4900000000000002</v>
      </c>
      <c r="I18" s="23">
        <f>H18*G18</f>
        <v>19.920000000000002</v>
      </c>
      <c r="J18" s="17">
        <f>IF(D18&gt;0,I18*PI()*(D18/1000)^2*7850/4,"")</f>
        <v>17.685256551377154</v>
      </c>
      <c r="K18" s="63">
        <f t="shared" ref="K18" si="5">SUM(J18:J22)</f>
        <v>2262.7974036097603</v>
      </c>
    </row>
    <row r="19" spans="2:11" ht="15" customHeight="1" x14ac:dyDescent="0.25">
      <c r="B19" s="62"/>
      <c r="C19" s="36" t="s">
        <v>111</v>
      </c>
      <c r="D19" s="12">
        <v>12</v>
      </c>
      <c r="E19" s="23">
        <v>300</v>
      </c>
      <c r="F19" s="37">
        <v>1</v>
      </c>
      <c r="G19" s="23">
        <v>8</v>
      </c>
      <c r="H19" s="23">
        <v>2.4900000000000002</v>
      </c>
      <c r="I19" s="23">
        <f>H19*G19</f>
        <v>19.920000000000002</v>
      </c>
      <c r="J19" s="17">
        <f t="shared" ref="J19:J22" si="6">IF(D19&gt;0,I19*PI()*(D19/1000)^2*7850/4,"")</f>
        <v>17.685256551377154</v>
      </c>
      <c r="K19" s="64"/>
    </row>
    <row r="20" spans="2:11" ht="15" customHeight="1" x14ac:dyDescent="0.25">
      <c r="B20" s="62"/>
      <c r="C20" s="36" t="s">
        <v>118</v>
      </c>
      <c r="D20" s="12">
        <v>16</v>
      </c>
      <c r="E20" s="23">
        <v>200</v>
      </c>
      <c r="F20" s="37">
        <v>1</v>
      </c>
      <c r="G20" s="23">
        <v>250</v>
      </c>
      <c r="H20" s="23">
        <v>2.35</v>
      </c>
      <c r="I20" s="23">
        <f>H20*G20</f>
        <v>587.5</v>
      </c>
      <c r="J20" s="17">
        <f t="shared" si="6"/>
        <v>927.27248763356317</v>
      </c>
      <c r="K20" s="64"/>
    </row>
    <row r="21" spans="2:11" ht="15" customHeight="1" x14ac:dyDescent="0.25">
      <c r="B21" s="62"/>
      <c r="C21" s="36" t="s">
        <v>119</v>
      </c>
      <c r="D21" s="12">
        <v>16</v>
      </c>
      <c r="E21" s="23">
        <v>200</v>
      </c>
      <c r="F21" s="33">
        <v>1</v>
      </c>
      <c r="G21" s="23">
        <v>250</v>
      </c>
      <c r="H21" s="23">
        <v>2.35</v>
      </c>
      <c r="I21" s="23">
        <f>H21*G21</f>
        <v>587.5</v>
      </c>
      <c r="J21" s="17">
        <f t="shared" si="6"/>
        <v>927.27248763356317</v>
      </c>
      <c r="K21" s="64"/>
    </row>
    <row r="22" spans="2:11" ht="15" customHeight="1" x14ac:dyDescent="0.25">
      <c r="B22" s="62"/>
      <c r="C22" s="36" t="s">
        <v>52</v>
      </c>
      <c r="D22" s="12">
        <v>12</v>
      </c>
      <c r="E22" s="23">
        <v>300</v>
      </c>
      <c r="F22" s="33">
        <v>1</v>
      </c>
      <c r="G22" s="23">
        <v>336</v>
      </c>
      <c r="H22" s="23">
        <f>0.3+0.3+0.65</f>
        <v>1.25</v>
      </c>
      <c r="I22" s="23">
        <f>H22*G22</f>
        <v>420</v>
      </c>
      <c r="J22" s="17">
        <f t="shared" si="6"/>
        <v>372.88191523987973</v>
      </c>
      <c r="K22" s="65"/>
    </row>
    <row r="23" spans="2:11" x14ac:dyDescent="0.25">
      <c r="B23" s="46"/>
      <c r="C23" s="46"/>
      <c r="D23" s="46"/>
      <c r="E23" s="46"/>
      <c r="F23" s="46"/>
      <c r="G23" s="46"/>
      <c r="H23" s="46"/>
      <c r="I23" s="46"/>
      <c r="J23" s="46"/>
      <c r="K23" s="46"/>
    </row>
    <row r="24" spans="2:11" ht="15" customHeight="1" x14ac:dyDescent="0.25">
      <c r="B24" s="62" t="s">
        <v>81</v>
      </c>
      <c r="C24" s="36" t="s">
        <v>120</v>
      </c>
      <c r="D24" s="4"/>
      <c r="E24" s="23"/>
      <c r="F24" s="37">
        <v>1</v>
      </c>
      <c r="G24" s="23" t="e">
        <f>(1500/E24)+1</f>
        <v>#DIV/0!</v>
      </c>
      <c r="H24" s="23">
        <v>1.5</v>
      </c>
      <c r="I24" s="23" t="e">
        <f>G24*H24</f>
        <v>#DIV/0!</v>
      </c>
      <c r="J24" s="10" t="str">
        <f>IF(D24&gt;0,I24*PI()*(D24/1000)^2*7850/4,"")</f>
        <v/>
      </c>
      <c r="K24" s="66">
        <f>SUM(J24:J27)</f>
        <v>0</v>
      </c>
    </row>
    <row r="25" spans="2:11" ht="15" customHeight="1" x14ac:dyDescent="0.25">
      <c r="B25" s="62"/>
      <c r="C25" s="36" t="s">
        <v>121</v>
      </c>
      <c r="D25" s="11"/>
      <c r="E25" s="23"/>
      <c r="F25" s="37">
        <v>1</v>
      </c>
      <c r="G25" s="23">
        <v>2</v>
      </c>
      <c r="H25" s="23">
        <v>2.2000000000000002</v>
      </c>
      <c r="I25" s="23">
        <f t="shared" ref="I25:I26" si="7">G25*H25</f>
        <v>4.4000000000000004</v>
      </c>
      <c r="J25" s="10" t="str">
        <f t="shared" ref="J25:J26" si="8">IF(D25&gt;0,I25*PI()*(D25/1000)^2*7850/4,"")</f>
        <v/>
      </c>
      <c r="K25" s="67"/>
    </row>
    <row r="26" spans="2:11" ht="15" customHeight="1" x14ac:dyDescent="0.25">
      <c r="B26" s="62"/>
      <c r="C26" s="36" t="s">
        <v>122</v>
      </c>
      <c r="D26" s="4"/>
      <c r="E26" s="23"/>
      <c r="F26" s="37">
        <v>1</v>
      </c>
      <c r="G26" s="23">
        <v>2</v>
      </c>
      <c r="H26" s="23">
        <v>1.4</v>
      </c>
      <c r="I26" s="23">
        <f t="shared" si="7"/>
        <v>2.8</v>
      </c>
      <c r="J26" s="10" t="str">
        <f t="shared" si="8"/>
        <v/>
      </c>
      <c r="K26" s="67"/>
    </row>
    <row r="27" spans="2:11" ht="15" customHeight="1" x14ac:dyDescent="0.25">
      <c r="B27" s="62"/>
      <c r="C27" s="36" t="s">
        <v>123</v>
      </c>
      <c r="D27" s="4"/>
      <c r="E27" s="4"/>
      <c r="F27" s="37">
        <v>1</v>
      </c>
      <c r="G27" s="4"/>
      <c r="H27" s="4"/>
      <c r="I27" s="4"/>
      <c r="J27" s="4"/>
      <c r="K27" s="68"/>
    </row>
    <row r="28" spans="2:11" x14ac:dyDescent="0.25">
      <c r="B28" s="46"/>
      <c r="C28" s="46"/>
      <c r="D28" s="46"/>
      <c r="E28" s="46"/>
      <c r="F28" s="46"/>
      <c r="G28" s="46"/>
      <c r="H28" s="46"/>
      <c r="I28" s="46"/>
      <c r="J28" s="46"/>
      <c r="K28" s="46"/>
    </row>
    <row r="29" spans="2:11" ht="15" customHeight="1" x14ac:dyDescent="0.25">
      <c r="F29" s="58" t="s">
        <v>124</v>
      </c>
      <c r="G29" s="59"/>
      <c r="H29" s="59"/>
      <c r="I29" s="59"/>
      <c r="J29" s="59"/>
      <c r="K29" s="61">
        <f>SUM(K7,K12,K18,K24)</f>
        <v>6617.0026613118016</v>
      </c>
    </row>
    <row r="30" spans="2:11" ht="15" customHeight="1" x14ac:dyDescent="0.25">
      <c r="F30" s="60"/>
      <c r="G30" s="60"/>
      <c r="H30" s="59"/>
      <c r="I30" s="59"/>
      <c r="J30" s="59"/>
      <c r="K30" s="61"/>
    </row>
    <row r="31" spans="2:11" ht="30" x14ac:dyDescent="0.25">
      <c r="C31" s="4"/>
      <c r="D31" s="4" t="s">
        <v>128</v>
      </c>
      <c r="E31" s="4" t="s">
        <v>48</v>
      </c>
      <c r="F31" s="42" t="s">
        <v>129</v>
      </c>
      <c r="G31" s="42" t="s">
        <v>130</v>
      </c>
    </row>
    <row r="32" spans="2:11" x14ac:dyDescent="0.25">
      <c r="B32">
        <v>12</v>
      </c>
      <c r="C32" s="76" t="s">
        <v>111</v>
      </c>
      <c r="D32" s="4">
        <f t="array" ref="D32">SUM(IF($C$32=$C$7:$C$10,$G$7:$G$10))</f>
        <v>24</v>
      </c>
      <c r="E32" s="4">
        <v>2.4900000000000002</v>
      </c>
      <c r="F32" s="4">
        <f>SUM(D32:D34)*E32</f>
        <v>164.34</v>
      </c>
      <c r="G32" s="4">
        <f>IF(D7&gt;0,F32*PI()*(D7/1000)^2*7850/4,"")</f>
        <v>145.9033665488615</v>
      </c>
      <c r="I32" t="s">
        <v>131</v>
      </c>
    </row>
    <row r="33" spans="2:10" x14ac:dyDescent="0.25">
      <c r="C33" s="77"/>
      <c r="D33" s="4">
        <f t="array" ref="D33">SUM(IF($C$32=C$12:C$15,$G$12:$G$15))</f>
        <v>26</v>
      </c>
      <c r="E33" s="4"/>
      <c r="F33" s="4"/>
      <c r="G33" s="4"/>
      <c r="I33">
        <f t="array" ref="I33">SUM(IF(B32:B55=12,G32:G55))</f>
        <v>518.78528178874126</v>
      </c>
      <c r="J33" t="s">
        <v>27</v>
      </c>
    </row>
    <row r="34" spans="2:10" x14ac:dyDescent="0.25">
      <c r="C34" s="78"/>
      <c r="D34" s="4">
        <f t="array" ref="D34">SUM(IF($C$32=$C$18:$C$22,$G$18:$G$22))</f>
        <v>16</v>
      </c>
      <c r="E34" s="4"/>
      <c r="F34" s="4"/>
      <c r="G34" s="4"/>
    </row>
    <row r="35" spans="2:10" ht="15" customHeight="1" x14ac:dyDescent="0.25">
      <c r="B35">
        <v>16</v>
      </c>
      <c r="C35" s="76" t="s">
        <v>112</v>
      </c>
      <c r="D35" s="4">
        <f t="array" ref="D35">SUM(IF($C$35=$C$7:$C$10,$G$7:$G$10))</f>
        <v>167</v>
      </c>
      <c r="E35" s="4">
        <v>5</v>
      </c>
      <c r="F35" s="4">
        <f t="shared" ref="F35" si="9">SUM(D35:D37)*E35</f>
        <v>835</v>
      </c>
      <c r="G35" s="4">
        <f>IF(D9&gt;0,F35*PI()*(D9/1000)^2*7850/4,"")</f>
        <v>1317.9106845515325</v>
      </c>
      <c r="I35" t="s">
        <v>132</v>
      </c>
    </row>
    <row r="36" spans="2:10" x14ac:dyDescent="0.25">
      <c r="C36" s="77"/>
      <c r="D36" s="4">
        <f t="array" ref="D36">SUM(IF($C$35=C$12:C$15,$G$12:$G$15))</f>
        <v>0</v>
      </c>
      <c r="E36" s="4"/>
      <c r="F36" s="4"/>
      <c r="G36" s="4"/>
      <c r="I36">
        <f t="array" ref="I36">SUM(IF(B32:B55=16,G32:G55))</f>
        <v>6098.217379523061</v>
      </c>
    </row>
    <row r="37" spans="2:10" x14ac:dyDescent="0.25">
      <c r="C37" s="78"/>
      <c r="D37" s="4">
        <f t="array" ref="D37">SUM(IF($C$35=$C$18:$C$22,$G$18:$G$22))</f>
        <v>0</v>
      </c>
      <c r="E37" s="4"/>
      <c r="F37" s="4"/>
      <c r="G37" s="4"/>
    </row>
    <row r="38" spans="2:10" x14ac:dyDescent="0.25">
      <c r="B38">
        <v>16</v>
      </c>
      <c r="C38" s="76" t="s">
        <v>113</v>
      </c>
      <c r="D38" s="4">
        <f t="array" ref="D38">SUM(IF($C$38=$C$7:$C$10,$G$7:$G$10))</f>
        <v>167</v>
      </c>
      <c r="E38" s="4">
        <v>3.4</v>
      </c>
      <c r="F38" s="4">
        <f t="shared" ref="F38" si="10">SUM(D38:D40)*E38</f>
        <v>567.79999999999995</v>
      </c>
      <c r="G38" s="4">
        <f>IF(D10&gt;0,F38*PI()*(D10/1000)^2*7850/4,"")</f>
        <v>896.17926549504205</v>
      </c>
    </row>
    <row r="39" spans="2:10" x14ac:dyDescent="0.25">
      <c r="C39" s="77"/>
      <c r="D39" s="4">
        <f t="array" ref="D39">SUM(IF($C$38=C$12:C$15,$G$12:$G$15))</f>
        <v>0</v>
      </c>
      <c r="E39" s="4"/>
      <c r="F39" s="4"/>
      <c r="G39" s="4"/>
    </row>
    <row r="40" spans="2:10" x14ac:dyDescent="0.25">
      <c r="C40" s="78"/>
      <c r="D40" s="4">
        <f t="array" ref="D40">SUM(IF($C$38=$C$18:$C$22,$G$18:$G$22))</f>
        <v>0</v>
      </c>
      <c r="E40" s="4"/>
      <c r="F40" s="4"/>
      <c r="G40" s="4"/>
    </row>
    <row r="41" spans="2:10" x14ac:dyDescent="0.25">
      <c r="B41">
        <v>16</v>
      </c>
      <c r="C41" s="76" t="s">
        <v>115</v>
      </c>
      <c r="D41" s="4">
        <f t="array" ref="D41">SUM(IF($C$41=$C$7:$C$10,$G$7:$G$10))</f>
        <v>0</v>
      </c>
      <c r="E41" s="4">
        <v>3.6</v>
      </c>
      <c r="F41" s="4">
        <f t="shared" ref="F41" si="11">SUM(D41:D43)*E41</f>
        <v>601.20000000000005</v>
      </c>
      <c r="G41" s="4">
        <f>IF(D14&gt;0,F41*PI()*(D14/1000)^2*7850/4,"")</f>
        <v>948.89569287710344</v>
      </c>
    </row>
    <row r="42" spans="2:10" x14ac:dyDescent="0.25">
      <c r="C42" s="77"/>
      <c r="D42" s="4">
        <f t="array" ref="D42">SUM(IF($C$41=C$12:C$15,$G$12:$G$15))</f>
        <v>167</v>
      </c>
      <c r="E42" s="4"/>
      <c r="F42" s="4"/>
      <c r="G42" s="4"/>
    </row>
    <row r="43" spans="2:10" x14ac:dyDescent="0.25">
      <c r="C43" s="78"/>
      <c r="D43" s="4">
        <f t="array" ref="D43">SUM(IF($C$41=$C$18:$C$22,$G$18:$G$22))</f>
        <v>0</v>
      </c>
      <c r="E43" s="4"/>
      <c r="F43" s="4"/>
      <c r="G43" s="4"/>
    </row>
    <row r="44" spans="2:10" x14ac:dyDescent="0.25">
      <c r="B44">
        <v>16</v>
      </c>
      <c r="C44" s="76" t="s">
        <v>116</v>
      </c>
      <c r="D44" s="4">
        <f t="array" ref="D44">SUM(IF($C44=$C$7:$C$10,$G$7:$G$10))</f>
        <v>0</v>
      </c>
      <c r="E44" s="4">
        <v>4.0999999999999996</v>
      </c>
      <c r="F44" s="4">
        <f t="shared" ref="F44" si="12">SUM(D44:D46)*E44</f>
        <v>684.69999999999993</v>
      </c>
      <c r="G44" s="4">
        <f>IF(D15&gt;0,F44*PI()*(D15/1000)^2*7850/4,"")</f>
        <v>1080.6867613322565</v>
      </c>
    </row>
    <row r="45" spans="2:10" x14ac:dyDescent="0.25">
      <c r="C45" s="77"/>
      <c r="D45" s="4">
        <f t="array" ref="D45">SUM(IF($C44=C$12:C$15,$G$12:$G$15))</f>
        <v>167</v>
      </c>
      <c r="E45" s="4"/>
      <c r="F45" s="4"/>
      <c r="G45" s="4"/>
    </row>
    <row r="46" spans="2:10" x14ac:dyDescent="0.25">
      <c r="C46" s="78"/>
      <c r="D46" s="4">
        <f t="array" ref="D46">SUM(IF($C44=$C$18:$C$22,$G$18:$G$22))</f>
        <v>0</v>
      </c>
      <c r="E46" s="4"/>
      <c r="F46" s="4"/>
      <c r="G46" s="4"/>
    </row>
    <row r="47" spans="2:10" x14ac:dyDescent="0.25">
      <c r="B47">
        <v>12</v>
      </c>
      <c r="C47" s="76" t="s">
        <v>52</v>
      </c>
      <c r="D47" s="4">
        <f t="array" ref="D47">SUM(IF($C47=$C$7:$C$10,$G$7:$G$10))</f>
        <v>0</v>
      </c>
      <c r="E47" s="4">
        <v>1.25</v>
      </c>
      <c r="F47" s="4">
        <f t="shared" ref="F47" si="13">SUM(D47:D49)*E47</f>
        <v>420</v>
      </c>
      <c r="G47" s="4">
        <f>IF(D22&gt;0,F47*PI()*(D22/1000)^2*7850/4,"")</f>
        <v>372.88191523987973</v>
      </c>
    </row>
    <row r="48" spans="2:10" x14ac:dyDescent="0.25">
      <c r="C48" s="77"/>
      <c r="D48" s="4">
        <f t="array" ref="D48">SUM(IF($C47=C$12:C$15,$G$12:$G$15))</f>
        <v>0</v>
      </c>
      <c r="E48" s="4"/>
      <c r="F48" s="4"/>
      <c r="G48" s="4"/>
    </row>
    <row r="49" spans="2:7" x14ac:dyDescent="0.25">
      <c r="C49" s="78"/>
      <c r="D49" s="4">
        <f t="array" ref="D49">SUM(IF($C47=$C$18:$C$22,$G$18:$G$22))</f>
        <v>336</v>
      </c>
      <c r="E49" s="4"/>
      <c r="F49" s="4"/>
      <c r="G49" s="4"/>
    </row>
    <row r="50" spans="2:7" x14ac:dyDescent="0.25">
      <c r="B50">
        <v>16</v>
      </c>
      <c r="C50" s="76" t="s">
        <v>118</v>
      </c>
      <c r="D50" s="4">
        <f t="array" ref="D50">SUM(IF($C50=$C$7:$C$10,$G$7:$G$10))</f>
        <v>0</v>
      </c>
      <c r="E50" s="4">
        <v>2.35</v>
      </c>
      <c r="F50" s="4">
        <f t="shared" ref="F50" si="14">SUM(D50:D52)*E50</f>
        <v>587.5</v>
      </c>
      <c r="G50" s="4">
        <f>IF(D20&gt;0,F50*PI()*(D20/1000)^2*7850/4,"")</f>
        <v>927.27248763356317</v>
      </c>
    </row>
    <row r="51" spans="2:7" x14ac:dyDescent="0.25">
      <c r="C51" s="77"/>
      <c r="D51" s="4">
        <f t="array" ref="D51">SUM(IF($C50=C$12:C$15,$G$12:$G$15))</f>
        <v>0</v>
      </c>
      <c r="E51" s="4"/>
      <c r="F51" s="4"/>
      <c r="G51" s="4"/>
    </row>
    <row r="52" spans="2:7" x14ac:dyDescent="0.25">
      <c r="C52" s="78"/>
      <c r="D52" s="4">
        <f t="array" ref="D52">SUM(IF($C50=$C$18:$C$22,$G$18:$G$22))</f>
        <v>250</v>
      </c>
      <c r="E52" s="4"/>
      <c r="F52" s="4"/>
      <c r="G52" s="4"/>
    </row>
    <row r="53" spans="2:7" x14ac:dyDescent="0.25">
      <c r="B53">
        <v>16</v>
      </c>
      <c r="C53" s="76" t="s">
        <v>119</v>
      </c>
      <c r="D53" s="4">
        <f t="array" ref="D53">SUM(IF($C53=$C$7:$C$10,$G$7:$G$10))</f>
        <v>0</v>
      </c>
      <c r="E53" s="4">
        <v>2.35</v>
      </c>
      <c r="F53" s="4">
        <f t="shared" ref="F53" si="15">SUM(D53:D55)*E53</f>
        <v>587.5</v>
      </c>
      <c r="G53" s="4">
        <f>IF(D21&gt;0,F53*PI()*(D21/1000)^2*7850/4,"")</f>
        <v>927.27248763356317</v>
      </c>
    </row>
    <row r="54" spans="2:7" x14ac:dyDescent="0.25">
      <c r="C54" s="77"/>
      <c r="D54" s="4">
        <f t="array" ref="D54">SUM(IF($C53=C$12:C$15,$G$12:$G$15))</f>
        <v>0</v>
      </c>
      <c r="E54" s="4"/>
      <c r="F54" s="4"/>
      <c r="G54" s="4"/>
    </row>
    <row r="55" spans="2:7" x14ac:dyDescent="0.25">
      <c r="C55" s="78"/>
      <c r="D55" s="4">
        <f t="array" ref="D55">SUM(IF($C53=$C$18:$C$22,$G$18:$G$22))</f>
        <v>250</v>
      </c>
      <c r="E55" s="4"/>
      <c r="F55" s="4"/>
      <c r="G55" s="4"/>
    </row>
    <row r="56" spans="2:7" x14ac:dyDescent="0.25">
      <c r="E56" s="79" t="s">
        <v>71</v>
      </c>
      <c r="F56" s="79"/>
      <c r="G56" s="22">
        <f>SUM(G32:G55)</f>
        <v>6617.0026613118034</v>
      </c>
    </row>
    <row r="67" spans="3:11" ht="15" customHeight="1" x14ac:dyDescent="0.25">
      <c r="C67" s="80" t="s">
        <v>125</v>
      </c>
      <c r="D67" s="81"/>
      <c r="E67" s="81"/>
      <c r="F67" s="81"/>
      <c r="G67" s="81"/>
      <c r="H67" s="81"/>
      <c r="I67" s="81"/>
      <c r="J67" s="81"/>
      <c r="K67" s="82"/>
    </row>
    <row r="68" spans="3:11" x14ac:dyDescent="0.25">
      <c r="C68" s="83"/>
      <c r="D68" s="84"/>
      <c r="E68" s="84"/>
      <c r="F68" s="84"/>
      <c r="G68" s="84"/>
      <c r="H68" s="84"/>
      <c r="I68" s="84"/>
      <c r="J68" s="84"/>
      <c r="K68" s="85"/>
    </row>
    <row r="69" spans="3:11" ht="45" x14ac:dyDescent="0.25">
      <c r="C69" s="38" t="s">
        <v>39</v>
      </c>
      <c r="D69" s="38" t="s">
        <v>40</v>
      </c>
      <c r="E69" s="8" t="s">
        <v>41</v>
      </c>
      <c r="F69" s="8" t="s">
        <v>106</v>
      </c>
      <c r="G69" s="38" t="s">
        <v>42</v>
      </c>
      <c r="H69" s="8" t="s">
        <v>43</v>
      </c>
      <c r="I69" s="8" t="s">
        <v>44</v>
      </c>
      <c r="J69" s="8" t="s">
        <v>45</v>
      </c>
      <c r="K69" s="38" t="s">
        <v>46</v>
      </c>
    </row>
    <row r="70" spans="3:11" x14ac:dyDescent="0.25">
      <c r="C70" s="36" t="s">
        <v>126</v>
      </c>
      <c r="D70" s="23">
        <v>12</v>
      </c>
      <c r="E70" s="23" t="s">
        <v>60</v>
      </c>
      <c r="F70" s="37"/>
      <c r="G70" s="23">
        <v>8</v>
      </c>
      <c r="H70" s="23">
        <v>1.9</v>
      </c>
      <c r="I70" s="23" t="s">
        <v>60</v>
      </c>
      <c r="J70" s="11">
        <v>13.42</v>
      </c>
      <c r="K70" s="86">
        <f t="shared" ref="K70" si="16">SUM(J70:J71)</f>
        <v>20.84</v>
      </c>
    </row>
    <row r="71" spans="3:11" x14ac:dyDescent="0.25">
      <c r="C71" s="36" t="s">
        <v>127</v>
      </c>
      <c r="D71" s="23">
        <v>12</v>
      </c>
      <c r="E71" s="23" t="s">
        <v>60</v>
      </c>
      <c r="F71" s="37"/>
      <c r="G71" s="23">
        <v>6</v>
      </c>
      <c r="H71" s="23">
        <v>1.4</v>
      </c>
      <c r="I71" s="23" t="s">
        <v>60</v>
      </c>
      <c r="J71" s="4">
        <v>7.42</v>
      </c>
      <c r="K71" s="87"/>
    </row>
  </sheetData>
  <mergeCells count="26">
    <mergeCell ref="C32:C34"/>
    <mergeCell ref="C35:C37"/>
    <mergeCell ref="E56:F56"/>
    <mergeCell ref="C67:K68"/>
    <mergeCell ref="K70:K71"/>
    <mergeCell ref="C41:C43"/>
    <mergeCell ref="C44:C46"/>
    <mergeCell ref="C47:C49"/>
    <mergeCell ref="C50:C52"/>
    <mergeCell ref="C53:C55"/>
    <mergeCell ref="C38:C40"/>
    <mergeCell ref="B5:K5"/>
    <mergeCell ref="B7:B10"/>
    <mergeCell ref="K7:K10"/>
    <mergeCell ref="B11:K11"/>
    <mergeCell ref="B12:B16"/>
    <mergeCell ref="K12:K16"/>
    <mergeCell ref="B28:K28"/>
    <mergeCell ref="F29:J30"/>
    <mergeCell ref="K29:K30"/>
    <mergeCell ref="B17:K17"/>
    <mergeCell ref="B18:B22"/>
    <mergeCell ref="K18:K22"/>
    <mergeCell ref="B23:K23"/>
    <mergeCell ref="B24:B27"/>
    <mergeCell ref="K24:K27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56"/>
  <sheetViews>
    <sheetView tabSelected="1" topLeftCell="E9" zoomScale="84" zoomScaleNormal="84" workbookViewId="0">
      <selection activeCell="G43" sqref="G43"/>
    </sheetView>
  </sheetViews>
  <sheetFormatPr defaultRowHeight="15" x14ac:dyDescent="0.25"/>
  <cols>
    <col min="1" max="1" width="11" hidden="1" customWidth="1"/>
    <col min="2" max="2" width="0" hidden="1" customWidth="1"/>
    <col min="3" max="3" width="10.85546875" hidden="1" customWidth="1"/>
    <col min="4" max="4" width="9" hidden="1" customWidth="1"/>
    <col min="5" max="5" width="10.28515625" customWidth="1"/>
    <col min="7" max="7" width="10.28515625" bestFit="1" customWidth="1"/>
    <col min="8" max="8" width="14.140625" customWidth="1"/>
  </cols>
  <sheetData>
    <row r="1" spans="1:10" hidden="1" x14ac:dyDescent="0.25"/>
    <row r="2" spans="1:10" hidden="1" x14ac:dyDescent="0.25">
      <c r="A2" s="46" t="s">
        <v>53</v>
      </c>
      <c r="B2" s="46"/>
      <c r="C2" s="46"/>
      <c r="D2" s="46"/>
      <c r="E2" s="13"/>
      <c r="F2">
        <v>1.5</v>
      </c>
    </row>
    <row r="3" spans="1:10" hidden="1" x14ac:dyDescent="0.25">
      <c r="A3" s="4"/>
      <c r="B3" s="4" t="s">
        <v>54</v>
      </c>
      <c r="C3" s="4" t="s">
        <v>48</v>
      </c>
      <c r="D3" s="4" t="s">
        <v>55</v>
      </c>
      <c r="F3">
        <v>1.2</v>
      </c>
    </row>
    <row r="4" spans="1:10" hidden="1" x14ac:dyDescent="0.25">
      <c r="A4" s="4" t="s">
        <v>56</v>
      </c>
      <c r="B4" s="4">
        <v>4.8238718685246287</v>
      </c>
      <c r="C4" s="4">
        <f>((5.654+8.364)/2)+3.5+0.9</f>
        <v>11.409000000000001</v>
      </c>
      <c r="D4" s="14">
        <f>B4*C4</f>
        <v>55.035554147997495</v>
      </c>
      <c r="F4">
        <v>1.2</v>
      </c>
      <c r="H4" s="4">
        <f>(H6+H7)/2</f>
        <v>3.3500000000000005</v>
      </c>
    </row>
    <row r="5" spans="1:10" hidden="1" x14ac:dyDescent="0.25">
      <c r="A5" s="4" t="s">
        <v>57</v>
      </c>
      <c r="B5" s="4">
        <v>11.519992463681675</v>
      </c>
      <c r="C5" s="4">
        <v>5.4</v>
      </c>
      <c r="D5" s="14">
        <f t="shared" ref="D5:D6" si="0">B5*C5</f>
        <v>62.207959303881047</v>
      </c>
    </row>
    <row r="6" spans="1:10" hidden="1" x14ac:dyDescent="0.25">
      <c r="A6" s="4" t="s">
        <v>58</v>
      </c>
      <c r="B6" s="4">
        <v>43.769838063399959</v>
      </c>
      <c r="C6" s="4">
        <f>3.5+0.9</f>
        <v>4.4000000000000004</v>
      </c>
      <c r="D6" s="14">
        <f t="shared" si="0"/>
        <v>192.58728747895984</v>
      </c>
      <c r="F6">
        <f>SUM(F2:F5)</f>
        <v>3.9000000000000004</v>
      </c>
      <c r="H6">
        <f>F6+0.45+0.45</f>
        <v>4.8000000000000007</v>
      </c>
    </row>
    <row r="7" spans="1:10" hidden="1" x14ac:dyDescent="0.25">
      <c r="A7" s="45" t="s">
        <v>59</v>
      </c>
      <c r="B7" s="45"/>
      <c r="C7" s="45"/>
      <c r="D7" s="18">
        <f>SUM(D4:D6)</f>
        <v>309.83080093083839</v>
      </c>
      <c r="H7">
        <f>1+0.45+0.45</f>
        <v>1.9</v>
      </c>
    </row>
    <row r="8" spans="1:10" hidden="1" x14ac:dyDescent="0.25"/>
    <row r="10" spans="1:10" x14ac:dyDescent="0.25">
      <c r="A10" s="46" t="s">
        <v>72</v>
      </c>
      <c r="B10" s="46"/>
      <c r="C10" s="46"/>
      <c r="D10" s="46"/>
      <c r="E10" s="46"/>
      <c r="F10" s="46"/>
      <c r="G10" s="46"/>
      <c r="H10" s="46"/>
    </row>
    <row r="11" spans="1:10" x14ac:dyDescent="0.25">
      <c r="A11" s="4" t="s">
        <v>60</v>
      </c>
      <c r="B11" s="4" t="s">
        <v>60</v>
      </c>
      <c r="C11" s="4" t="s">
        <v>60</v>
      </c>
      <c r="D11" s="4" t="s">
        <v>60</v>
      </c>
      <c r="E11" s="4" t="s">
        <v>133</v>
      </c>
      <c r="F11" s="4" t="s">
        <v>54</v>
      </c>
      <c r="G11" s="4" t="s">
        <v>48</v>
      </c>
      <c r="H11" s="4" t="s">
        <v>55</v>
      </c>
      <c r="I11" t="s">
        <v>66</v>
      </c>
      <c r="J11">
        <v>0.23</v>
      </c>
    </row>
    <row r="12" spans="1:10" x14ac:dyDescent="0.25">
      <c r="A12" s="4" t="s">
        <v>60</v>
      </c>
      <c r="B12" s="4" t="s">
        <v>60</v>
      </c>
      <c r="C12" s="4" t="s">
        <v>60</v>
      </c>
      <c r="D12" s="4" t="s">
        <v>60</v>
      </c>
      <c r="E12" s="43"/>
      <c r="F12" s="4">
        <v>0.60000000000005116</v>
      </c>
      <c r="G12" s="4"/>
      <c r="H12" s="4">
        <f>G12*F12</f>
        <v>0</v>
      </c>
    </row>
    <row r="13" spans="1:10" hidden="1" x14ac:dyDescent="0.25">
      <c r="A13" s="46" t="s">
        <v>70</v>
      </c>
      <c r="B13" s="46"/>
      <c r="C13" s="46"/>
      <c r="D13" s="46"/>
      <c r="E13" s="46"/>
      <c r="F13" s="46"/>
      <c r="G13" s="46"/>
      <c r="H13" s="46"/>
      <c r="I13" t="s">
        <v>64</v>
      </c>
      <c r="J13" t="s">
        <v>65</v>
      </c>
    </row>
    <row r="14" spans="1:10" hidden="1" x14ac:dyDescent="0.25">
      <c r="A14" s="4"/>
      <c r="B14" s="4" t="s">
        <v>61</v>
      </c>
      <c r="C14" s="4" t="s">
        <v>9</v>
      </c>
      <c r="D14" s="4" t="s">
        <v>54</v>
      </c>
      <c r="E14" s="4" t="s">
        <v>63</v>
      </c>
      <c r="F14" s="4" t="s">
        <v>51</v>
      </c>
      <c r="G14" s="4" t="s">
        <v>62</v>
      </c>
      <c r="H14" s="4" t="s">
        <v>69</v>
      </c>
      <c r="I14">
        <v>0.6</v>
      </c>
      <c r="J14">
        <f>2*J11+1.72</f>
        <v>2.1800000000000002</v>
      </c>
    </row>
    <row r="15" spans="1:10" hidden="1" x14ac:dyDescent="0.25">
      <c r="A15" s="4" t="s">
        <v>67</v>
      </c>
      <c r="B15" s="4">
        <f>1.2+0.9</f>
        <v>2.1</v>
      </c>
      <c r="C15" s="4">
        <f>0.5*(1.7+0.9+0.9)</f>
        <v>1.75</v>
      </c>
      <c r="D15" s="4">
        <f>C15*B15</f>
        <v>3.6750000000000003</v>
      </c>
      <c r="E15" s="4">
        <f>(J14+(J14-I14))/2</f>
        <v>1.8800000000000001</v>
      </c>
      <c r="F15" s="4">
        <f>E15*D15</f>
        <v>6.9090000000000007</v>
      </c>
      <c r="G15" s="4" t="s">
        <v>68</v>
      </c>
      <c r="H15" s="4">
        <f>F15*2</f>
        <v>13.818000000000001</v>
      </c>
    </row>
    <row r="16" spans="1:10" hidden="1" x14ac:dyDescent="0.25">
      <c r="A16" s="4"/>
      <c r="B16" s="4"/>
      <c r="C16" s="4"/>
      <c r="D16" s="4"/>
      <c r="E16" s="4"/>
      <c r="F16" s="4"/>
      <c r="G16" s="4"/>
      <c r="H16" s="4"/>
    </row>
    <row r="17" spans="1:9" hidden="1" x14ac:dyDescent="0.25">
      <c r="A17" s="4" t="s">
        <v>102</v>
      </c>
      <c r="B17" s="4" t="s">
        <v>60</v>
      </c>
      <c r="C17" s="4" t="s">
        <v>60</v>
      </c>
      <c r="D17" s="4">
        <v>1.2603754404764724</v>
      </c>
      <c r="E17" s="4" t="s">
        <v>60</v>
      </c>
      <c r="F17" s="20" t="s">
        <v>60</v>
      </c>
      <c r="G17" s="4">
        <f>5.4+0.9</f>
        <v>6.3000000000000007</v>
      </c>
      <c r="H17" s="4">
        <f>D17*G17</f>
        <v>7.9403652750017768</v>
      </c>
    </row>
    <row r="18" spans="1:9" hidden="1" x14ac:dyDescent="0.25">
      <c r="A18" s="4"/>
      <c r="B18" s="4"/>
      <c r="C18" s="4"/>
      <c r="D18" s="4"/>
      <c r="E18" s="4"/>
      <c r="F18" s="4"/>
      <c r="G18" s="4"/>
      <c r="H18" s="4"/>
    </row>
    <row r="19" spans="1:9" hidden="1" x14ac:dyDescent="0.25">
      <c r="A19" s="45" t="s">
        <v>71</v>
      </c>
      <c r="B19" s="45"/>
      <c r="C19" s="45"/>
      <c r="D19" s="45"/>
      <c r="E19" s="45"/>
      <c r="F19" s="45"/>
      <c r="G19" s="45"/>
      <c r="H19" s="4">
        <f>SUM(H15:H17)</f>
        <v>21.758365275001779</v>
      </c>
    </row>
    <row r="20" spans="1:9" hidden="1" x14ac:dyDescent="0.25">
      <c r="D20" s="45" t="s">
        <v>73</v>
      </c>
      <c r="E20" s="45"/>
      <c r="F20" s="45"/>
      <c r="G20" s="45"/>
      <c r="H20" s="18">
        <f>H19+H12</f>
        <v>21.758365275001779</v>
      </c>
    </row>
    <row r="21" spans="1:9" hidden="1" x14ac:dyDescent="0.25"/>
    <row r="22" spans="1:9" hidden="1" x14ac:dyDescent="0.25"/>
    <row r="23" spans="1:9" hidden="1" x14ac:dyDescent="0.25">
      <c r="C23" t="s">
        <v>74</v>
      </c>
      <c r="E23">
        <v>0.84899999999999998</v>
      </c>
    </row>
    <row r="24" spans="1:9" hidden="1" x14ac:dyDescent="0.25">
      <c r="C24" t="s">
        <v>74</v>
      </c>
      <c r="D24">
        <v>1.202</v>
      </c>
      <c r="F24">
        <f>D24-E23</f>
        <v>0.35299999999999998</v>
      </c>
    </row>
    <row r="25" spans="1:9" hidden="1" x14ac:dyDescent="0.25"/>
    <row r="26" spans="1:9" hidden="1" x14ac:dyDescent="0.25">
      <c r="C26">
        <v>2.12</v>
      </c>
      <c r="D26">
        <f>C26+0.9</f>
        <v>3.02</v>
      </c>
    </row>
    <row r="27" spans="1:9" hidden="1" x14ac:dyDescent="0.25"/>
    <row r="28" spans="1:9" hidden="1" x14ac:dyDescent="0.25">
      <c r="C28">
        <v>60</v>
      </c>
      <c r="D28">
        <v>6</v>
      </c>
    </row>
    <row r="29" spans="1:9" hidden="1" x14ac:dyDescent="0.25">
      <c r="H29" s="4">
        <v>0.35997624301206599</v>
      </c>
    </row>
    <row r="30" spans="1:9" hidden="1" x14ac:dyDescent="0.25">
      <c r="B30" s="46" t="s">
        <v>82</v>
      </c>
      <c r="C30" s="46"/>
      <c r="D30" s="46"/>
      <c r="H30" s="4">
        <v>5.8256502605405478</v>
      </c>
    </row>
    <row r="31" spans="1:9" hidden="1" x14ac:dyDescent="0.25">
      <c r="B31" s="4" t="s">
        <v>96</v>
      </c>
      <c r="C31" s="4" t="s">
        <v>54</v>
      </c>
      <c r="D31" s="4" t="s">
        <v>55</v>
      </c>
      <c r="G31" s="22"/>
    </row>
    <row r="32" spans="1:9" hidden="1" x14ac:dyDescent="0.25">
      <c r="B32" s="4" t="s">
        <v>97</v>
      </c>
      <c r="C32" s="4">
        <v>0.69459534166239456</v>
      </c>
      <c r="D32" s="15">
        <f>C32*1</f>
        <v>0.69459534166239456</v>
      </c>
      <c r="H32">
        <f>H30+H29</f>
        <v>6.1856265035526139</v>
      </c>
      <c r="I32" t="s">
        <v>104</v>
      </c>
    </row>
    <row r="33" spans="2:7" hidden="1" x14ac:dyDescent="0.25">
      <c r="B33" s="4" t="s">
        <v>57</v>
      </c>
      <c r="D33" s="15"/>
      <c r="G33" s="22"/>
    </row>
    <row r="34" spans="2:7" hidden="1" x14ac:dyDescent="0.25">
      <c r="B34" s="45" t="s">
        <v>98</v>
      </c>
      <c r="C34" s="45"/>
      <c r="D34" s="18">
        <f>SUM(D32:D33)</f>
        <v>0.69459534166239456</v>
      </c>
    </row>
    <row r="35" spans="2:7" hidden="1" x14ac:dyDescent="0.25"/>
    <row r="36" spans="2:7" hidden="1" x14ac:dyDescent="0.25">
      <c r="D36">
        <v>4.9130000000000003</v>
      </c>
    </row>
    <row r="37" spans="2:7" hidden="1" x14ac:dyDescent="0.25"/>
    <row r="38" spans="2:7" hidden="1" x14ac:dyDescent="0.25">
      <c r="D38" s="21">
        <f>D34-D36</f>
        <v>-4.2184046583376054</v>
      </c>
    </row>
    <row r="39" spans="2:7" x14ac:dyDescent="0.25">
      <c r="C39" s="4">
        <v>4.4774293847717797</v>
      </c>
    </row>
    <row r="40" spans="2:7" x14ac:dyDescent="0.25">
      <c r="F40" s="4"/>
    </row>
    <row r="41" spans="2:7" x14ac:dyDescent="0.25">
      <c r="B41">
        <f>SUM(C41:C52)</f>
        <v>12.513488166203075</v>
      </c>
      <c r="C41">
        <f>SUM(F40:F60)</f>
        <v>12.513488166203075</v>
      </c>
      <c r="F41" s="4">
        <v>11.913488166203024</v>
      </c>
      <c r="G41" t="s">
        <v>135</v>
      </c>
    </row>
    <row r="42" spans="2:7" x14ac:dyDescent="0.25">
      <c r="F42" s="4">
        <v>0.60000000000005116</v>
      </c>
      <c r="G42" t="s">
        <v>136</v>
      </c>
    </row>
    <row r="43" spans="2:7" x14ac:dyDescent="0.25">
      <c r="F43" s="4"/>
    </row>
    <row r="44" spans="2:7" x14ac:dyDescent="0.25">
      <c r="F44" s="4"/>
    </row>
    <row r="45" spans="2:7" x14ac:dyDescent="0.25">
      <c r="F45" s="4"/>
    </row>
    <row r="46" spans="2:7" x14ac:dyDescent="0.25">
      <c r="B46" t="s">
        <v>134</v>
      </c>
      <c r="F46" s="4"/>
    </row>
    <row r="47" spans="2:7" x14ac:dyDescent="0.25">
      <c r="B47">
        <v>19.6693</v>
      </c>
      <c r="D47">
        <v>13.499700000000001</v>
      </c>
      <c r="F47" s="4"/>
    </row>
    <row r="48" spans="2:7" x14ac:dyDescent="0.25">
      <c r="D48">
        <v>0.13250000000000001</v>
      </c>
      <c r="F48" s="4"/>
    </row>
    <row r="49" spans="2:6" x14ac:dyDescent="0.25">
      <c r="D49">
        <v>1.3626</v>
      </c>
      <c r="F49" s="4"/>
    </row>
    <row r="50" spans="2:6" x14ac:dyDescent="0.25">
      <c r="D50">
        <v>4.6745000000000001</v>
      </c>
      <c r="F50" s="4"/>
    </row>
    <row r="51" spans="2:6" x14ac:dyDescent="0.25">
      <c r="F51" s="4"/>
    </row>
    <row r="52" spans="2:6" x14ac:dyDescent="0.25">
      <c r="B52">
        <v>36.286699999999996</v>
      </c>
      <c r="D52">
        <v>19.428000000000001</v>
      </c>
      <c r="F52" s="4"/>
    </row>
    <row r="53" spans="2:6" x14ac:dyDescent="0.25">
      <c r="D53">
        <v>16.858699999999999</v>
      </c>
    </row>
    <row r="55" spans="2:6" x14ac:dyDescent="0.25">
      <c r="B55">
        <v>24.660299999999999</v>
      </c>
      <c r="D55">
        <v>8.2072000000000003</v>
      </c>
    </row>
    <row r="56" spans="2:6" x14ac:dyDescent="0.25">
      <c r="D56">
        <v>16.453099999999999</v>
      </c>
    </row>
  </sheetData>
  <mergeCells count="8">
    <mergeCell ref="B34:C34"/>
    <mergeCell ref="A2:D2"/>
    <mergeCell ref="B30:D30"/>
    <mergeCell ref="A19:G19"/>
    <mergeCell ref="A13:H13"/>
    <mergeCell ref="A10:H10"/>
    <mergeCell ref="D20:G20"/>
    <mergeCell ref="A7:C7"/>
  </mergeCells>
  <pageMargins left="0.7" right="0.7" top="0.75" bottom="0.75" header="0.3" footer="0.3"/>
  <pageSetup orientation="portrait" r:id="rId1"/>
  <ignoredErrors>
    <ignoredError sqref="E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Range_b4">
                <anchor moveWithCells="1" siz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4</xdr:col>
                    <xdr:colOff>619125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Range_f12">
                <anchor moveWithCells="1" sizeWithCells="1">
                  <from>
                    <xdr:col>8</xdr:col>
                    <xdr:colOff>38100</xdr:colOff>
                    <xdr:row>11</xdr:row>
                    <xdr:rowOff>9525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Range_b5">
                <anchor moveWithCells="1" siz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4</xdr:col>
                    <xdr:colOff>619125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GetArea">
                <anchor moveWithCells="1" sizeWithCells="1">
                  <from>
                    <xdr:col>8</xdr:col>
                    <xdr:colOff>19050</xdr:colOff>
                    <xdr:row>12</xdr:row>
                    <xdr:rowOff>0</xdr:rowOff>
                  </from>
                  <to>
                    <xdr:col>8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Range_d17">
                <anchor moveWithCells="1" sizeWithCells="1">
                  <from>
                    <xdr:col>8</xdr:col>
                    <xdr:colOff>19050</xdr:colOff>
                    <xdr:row>12</xdr:row>
                    <xdr:rowOff>0</xdr:rowOff>
                  </from>
                  <to>
                    <xdr:col>8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Range_b6">
                <anchor moveWithCells="1" siz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4</xdr:col>
                    <xdr:colOff>609600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Range_c32">
                <anchor moveWithCells="1" sizeWithCells="1"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4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Range_c33">
                <anchor moveWithCells="1" sizeWithCells="1"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4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Macro2">
                <anchor moveWithCells="1" sizeWithCells="1">
                  <from>
                    <xdr:col>7</xdr:col>
                    <xdr:colOff>590550</xdr:colOff>
                    <xdr:row>40</xdr:row>
                    <xdr:rowOff>123825</xdr:rowOff>
                  </from>
                  <to>
                    <xdr:col>9</xdr:col>
                    <xdr:colOff>9525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Macro3">
                <anchor moveWithCells="1" sizeWithCells="1">
                  <from>
                    <xdr:col>7</xdr:col>
                    <xdr:colOff>590550</xdr:colOff>
                    <xdr:row>42</xdr:row>
                    <xdr:rowOff>85725</xdr:rowOff>
                  </from>
                  <to>
                    <xdr:col>9</xdr:col>
                    <xdr:colOff>9525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4" name="Button 17">
              <controlPr defaultSize="0" print="0" autoFill="0" autoPict="0" macro="[0]!Macro4">
                <anchor moveWithCells="1" sizeWithCells="1">
                  <from>
                    <xdr:col>7</xdr:col>
                    <xdr:colOff>590550</xdr:colOff>
                    <xdr:row>44</xdr:row>
                    <xdr:rowOff>57150</xdr:rowOff>
                  </from>
                  <to>
                    <xdr:col>9</xdr:col>
                    <xdr:colOff>9525</xdr:colOff>
                    <xdr:row>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Button 19">
              <controlPr defaultSize="0" print="0" autoFill="0" autoPict="0" macro="[0]!Macro5">
                <anchor moveWithCells="1" sizeWithCells="1">
                  <from>
                    <xdr:col>7</xdr:col>
                    <xdr:colOff>590550</xdr:colOff>
                    <xdr:row>46</xdr:row>
                    <xdr:rowOff>19050</xdr:rowOff>
                  </from>
                  <to>
                    <xdr:col>9</xdr:col>
                    <xdr:colOff>9525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6" name="Button 20">
              <controlPr defaultSize="0" print="0" autoFill="0" autoPict="0" macro="[0]!Macro6">
                <anchor moveWithCells="1" sizeWithCells="1">
                  <from>
                    <xdr:col>7</xdr:col>
                    <xdr:colOff>581025</xdr:colOff>
                    <xdr:row>47</xdr:row>
                    <xdr:rowOff>152400</xdr:rowOff>
                  </from>
                  <to>
                    <xdr:col>8</xdr:col>
                    <xdr:colOff>609600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7" name="Button 21">
              <controlPr defaultSize="0" print="0" autoFill="0" autoPict="0" macro="[0]!Macro7">
                <anchor moveWithCells="1" sizeWithCells="1">
                  <from>
                    <xdr:col>7</xdr:col>
                    <xdr:colOff>552450</xdr:colOff>
                    <xdr:row>50</xdr:row>
                    <xdr:rowOff>19050</xdr:rowOff>
                  </from>
                  <to>
                    <xdr:col>8</xdr:col>
                    <xdr:colOff>590550</xdr:colOff>
                    <xdr:row>51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8" name="Button 22">
              <controlPr defaultSize="0" print="0" autoFill="0" autoPict="0" macro="[0]!Macro8">
                <anchor moveWithCells="1" sizeWithCells="1">
                  <from>
                    <xdr:col>7</xdr:col>
                    <xdr:colOff>552450</xdr:colOff>
                    <xdr:row>52</xdr:row>
                    <xdr:rowOff>0</xdr:rowOff>
                  </from>
                  <to>
                    <xdr:col>8</xdr:col>
                    <xdr:colOff>590550</xdr:colOff>
                    <xdr:row>53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9" name="Button 23">
              <controlPr defaultSize="0" print="0" autoFill="0" autoPict="0" macro="[0]!Macro9">
                <anchor moveWithCells="1" sizeWithCells="1">
                  <from>
                    <xdr:col>7</xdr:col>
                    <xdr:colOff>552450</xdr:colOff>
                    <xdr:row>54</xdr:row>
                    <xdr:rowOff>47625</xdr:rowOff>
                  </from>
                  <to>
                    <xdr:col>8</xdr:col>
                    <xdr:colOff>590550</xdr:colOff>
                    <xdr:row>55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0" name="Button 24">
              <controlPr defaultSize="0" print="0" autoFill="0" autoPict="0" macro="[0]!Macro10">
                <anchor moveWithCells="1" sizeWithCells="1">
                  <from>
                    <xdr:col>7</xdr:col>
                    <xdr:colOff>533400</xdr:colOff>
                    <xdr:row>56</xdr:row>
                    <xdr:rowOff>19050</xdr:rowOff>
                  </from>
                  <to>
                    <xdr:col>8</xdr:col>
                    <xdr:colOff>561975</xdr:colOff>
                    <xdr:row>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1" name="Button 25">
              <controlPr defaultSize="0" print="0" autoFill="0" autoPict="0" macro="[0]!Macro11">
                <anchor moveWithCells="1" sizeWithCells="1">
                  <from>
                    <xdr:col>8</xdr:col>
                    <xdr:colOff>447675</xdr:colOff>
                    <xdr:row>8</xdr:row>
                    <xdr:rowOff>76200</xdr:rowOff>
                  </from>
                  <to>
                    <xdr:col>10</xdr:col>
                    <xdr:colOff>190500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8:C15"/>
  <sheetViews>
    <sheetView topLeftCell="A4" workbookViewId="0">
      <selection activeCell="C11" sqref="C11"/>
    </sheetView>
  </sheetViews>
  <sheetFormatPr defaultRowHeight="15" x14ac:dyDescent="0.25"/>
  <sheetData>
    <row r="8" spans="2:3" x14ac:dyDescent="0.25">
      <c r="B8" t="s">
        <v>99</v>
      </c>
    </row>
    <row r="10" spans="2:3" x14ac:dyDescent="0.25">
      <c r="B10">
        <v>897.02</v>
      </c>
      <c r="C10">
        <f>B10+0.25</f>
        <v>897.27</v>
      </c>
    </row>
    <row r="11" spans="2:3" x14ac:dyDescent="0.25">
      <c r="C11">
        <f t="shared" ref="C11:C15" si="0">B11+0.25</f>
        <v>0.25</v>
      </c>
    </row>
    <row r="12" spans="2:3" x14ac:dyDescent="0.25">
      <c r="B12">
        <v>897.05</v>
      </c>
      <c r="C12">
        <f t="shared" si="0"/>
        <v>897.3</v>
      </c>
    </row>
    <row r="13" spans="2:3" x14ac:dyDescent="0.25">
      <c r="C13">
        <f t="shared" si="0"/>
        <v>0.25</v>
      </c>
    </row>
    <row r="14" spans="2:3" x14ac:dyDescent="0.25">
      <c r="B14">
        <v>896.99</v>
      </c>
      <c r="C14">
        <f t="shared" si="0"/>
        <v>897.24</v>
      </c>
    </row>
    <row r="15" spans="2:3" x14ac:dyDescent="0.25">
      <c r="C15">
        <f t="shared" si="0"/>
        <v>0.25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Concrete</vt:lpstr>
      <vt:lpstr>Rebar</vt:lpstr>
      <vt:lpstr>Backfill &amp; Structural Exc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2015-10-13T09:00:54Z</dcterms:created>
  <dcterms:modified xsi:type="dcterms:W3CDTF">2020-08-21T20:35:40Z</dcterms:modified>
</cp:coreProperties>
</file>