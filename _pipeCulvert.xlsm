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120" windowWidth="9555" windowHeight="6465"/>
  </bookViews>
  <sheets>
    <sheet name="pipe_culvert" sheetId="1" r:id="rId1"/>
    <sheet name="Sheet3" sheetId="3" r:id="rId2"/>
    <sheet name="Sheet1" sheetId="4" r:id="rId3"/>
  </sheets>
  <calcPr calcId="144525"/>
  <customWorkbookViews>
    <customWorkbookView name="33" guid="{A4DA0C6D-D584-455D-A4B7-603EE27383F6}" maximized="1" windowWidth="1280" windowHeight="838" activeSheetId="1" showComments="commIndAndComment"/>
  </customWorkbookViews>
</workbook>
</file>

<file path=xl/calcChain.xml><?xml version="1.0" encoding="utf-8"?>
<calcChain xmlns="http://schemas.openxmlformats.org/spreadsheetml/2006/main">
  <c r="I2" i="1" l="1"/>
  <c r="D2" i="1"/>
  <c r="J2" i="1" l="1"/>
  <c r="E4" i="3" l="1"/>
</calcChain>
</file>

<file path=xl/sharedStrings.xml><?xml version="1.0" encoding="utf-8"?>
<sst xmlns="http://schemas.openxmlformats.org/spreadsheetml/2006/main" count="12" uniqueCount="11">
  <si>
    <t>Slope=</t>
  </si>
  <si>
    <t>in percent(%)</t>
  </si>
  <si>
    <t xml:space="preserve">              Left_End_Stru=</t>
  </si>
  <si>
    <t xml:space="preserve">      Right_End_Stru=</t>
  </si>
  <si>
    <t>xo</t>
  </si>
  <si>
    <t>yo</t>
  </si>
  <si>
    <t>slope</t>
  </si>
  <si>
    <t>C</t>
  </si>
  <si>
    <t>Dia_pipe(mm)</t>
  </si>
  <si>
    <t>anticipated===</t>
  </si>
  <si>
    <t>entered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</si>
</sst>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Type &quot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4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3" tint="0.399975585192419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0" fillId="2" borderId="2" xfId="0" applyFill="1" applyBorder="1"/>
    <xf numFmtId="0" fontId="0" fillId="2" borderId="0" xfId="0" applyFill="1" applyBorder="1"/>
    <xf numFmtId="0" fontId="3" fillId="2" borderId="2" xfId="0" applyFont="1" applyFill="1" applyBorder="1"/>
    <xf numFmtId="0" fontId="4" fillId="5" borderId="0" xfId="0" applyFont="1" applyFill="1"/>
    <xf numFmtId="0" fontId="5" fillId="0" borderId="0" xfId="0" applyFont="1"/>
    <xf numFmtId="0" fontId="0" fillId="2" borderId="8" xfId="0" applyFill="1" applyBorder="1" applyAlignment="1">
      <alignment horizontal="right"/>
    </xf>
    <xf numFmtId="0" fontId="0" fillId="2" borderId="8" xfId="0" applyFill="1" applyBorder="1"/>
    <xf numFmtId="0" fontId="0" fillId="2" borderId="8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164" fontId="1" fillId="3" borderId="1" xfId="0" applyNumberFormat="1" applyFont="1" applyFill="1" applyBorder="1" applyAlignment="1">
      <alignment vertical="center"/>
    </xf>
    <xf numFmtId="0" fontId="1" fillId="3" borderId="1" xfId="0" applyFont="1" applyFill="1" applyBorder="1" applyAlignment="1">
      <alignment vertical="center"/>
    </xf>
    <xf numFmtId="0" fontId="0" fillId="2" borderId="2" xfId="0" applyFill="1" applyBorder="1" applyAlignment="1">
      <alignment horizontal="right"/>
    </xf>
    <xf numFmtId="0" fontId="0" fillId="2" borderId="9" xfId="0" applyFill="1" applyBorder="1" applyAlignment="1">
      <alignment horizontal="right"/>
    </xf>
    <xf numFmtId="0" fontId="6" fillId="2" borderId="3" xfId="0" applyFont="1" applyFill="1" applyBorder="1"/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6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409575</xdr:colOff>
          <xdr:row>11</xdr:row>
          <xdr:rowOff>19050</xdr:rowOff>
        </xdr:from>
        <xdr:to>
          <xdr:col>4</xdr:col>
          <xdr:colOff>581025</xdr:colOff>
          <xdr:row>12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Calculate_Qty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428625</xdr:colOff>
          <xdr:row>2</xdr:row>
          <xdr:rowOff>28575</xdr:rowOff>
        </xdr:from>
        <xdr:to>
          <xdr:col>6</xdr:col>
          <xdr:colOff>542925</xdr:colOff>
          <xdr:row>3</xdr:row>
          <xdr:rowOff>114300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2</xdr:row>
          <xdr:rowOff>9525</xdr:rowOff>
        </xdr:from>
        <xdr:to>
          <xdr:col>5</xdr:col>
          <xdr:colOff>95250</xdr:colOff>
          <xdr:row>3</xdr:row>
          <xdr:rowOff>38100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3</xdr:row>
          <xdr:rowOff>66675</xdr:rowOff>
        </xdr:from>
        <xdr:to>
          <xdr:col>5</xdr:col>
          <xdr:colOff>104775</xdr:colOff>
          <xdr:row>4</xdr:row>
          <xdr:rowOff>76200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419100</xdr:colOff>
      <xdr:row>1</xdr:row>
      <xdr:rowOff>28575</xdr:rowOff>
    </xdr:from>
    <xdr:to>
      <xdr:col>8</xdr:col>
      <xdr:colOff>447675</xdr:colOff>
      <xdr:row>3</xdr:row>
      <xdr:rowOff>47625</xdr:rowOff>
    </xdr:to>
    <xdr:sp macro="" textlink="">
      <xdr:nvSpPr>
        <xdr:cNvPr id="2" name="Rounded Rectangle 1"/>
        <xdr:cNvSpPr/>
      </xdr:nvSpPr>
      <xdr:spPr>
        <a:xfrm>
          <a:off x="4572000" y="219075"/>
          <a:ext cx="638175" cy="400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Delete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39997558519241921"/>
  </sheetPr>
  <dimension ref="A1:J18"/>
  <sheetViews>
    <sheetView tabSelected="1" zoomScaleNormal="100" workbookViewId="0">
      <selection activeCell="G7" sqref="G7"/>
    </sheetView>
  </sheetViews>
  <sheetFormatPr defaultRowHeight="15" x14ac:dyDescent="0.25"/>
  <cols>
    <col min="1" max="1" width="2.42578125" customWidth="1"/>
    <col min="2" max="2" width="12" customWidth="1"/>
    <col min="3" max="3" width="9.7109375" customWidth="1"/>
    <col min="4" max="4" width="10.7109375" customWidth="1"/>
    <col min="11" max="11" width="9" customWidth="1"/>
  </cols>
  <sheetData>
    <row r="1" spans="1:10" x14ac:dyDescent="0.25">
      <c r="A1" s="18"/>
      <c r="B1" s="19"/>
      <c r="C1" s="19"/>
      <c r="D1" s="19"/>
      <c r="E1" s="19"/>
      <c r="F1" s="19"/>
      <c r="G1" s="19"/>
      <c r="H1" s="19"/>
      <c r="I1" s="20"/>
      <c r="J1" s="8" t="b">
        <v>1</v>
      </c>
    </row>
    <row r="2" spans="1:10" x14ac:dyDescent="0.25">
      <c r="A2" s="6">
        <v>17</v>
      </c>
      <c r="B2" s="5" t="s">
        <v>9</v>
      </c>
      <c r="C2" s="22">
        <v>0.5</v>
      </c>
      <c r="D2" s="5">
        <f>C2-0.01</f>
        <v>0.49</v>
      </c>
      <c r="E2" s="5" t="s">
        <v>10</v>
      </c>
      <c r="F2" s="5"/>
      <c r="G2" s="5"/>
      <c r="H2" s="5"/>
      <c r="I2" s="17" t="str">
        <f ca="1">CHAR(RANDBETWEEN(65, 91)) &amp; CHAR(RANDBETWEEN(97, 122)) &amp; CHAR(RANDBETWEEN(65, 91)) &amp; CHAR(RANDBETWEEN(65, 91)) &amp; CHAR(RANDBETWEEN(97, 122))</f>
        <v>NzUTz</v>
      </c>
      <c r="J2" s="8" t="str">
        <f ca="1">CHAR(RANDBETWEEN(97,122))&amp;CHAR(RANDBETWEEN(65,90))&amp;CHAR(RANDBETWEEN(97,122))&amp;CHAR(RANDBETWEEN(65,90))</f>
        <v>sEiL</v>
      </c>
    </row>
    <row r="3" spans="1:10" x14ac:dyDescent="0.25">
      <c r="A3" s="4"/>
      <c r="B3" s="5" t="s">
        <v>8</v>
      </c>
      <c r="C3" s="5"/>
      <c r="D3" s="5" t="s">
        <v>1</v>
      </c>
      <c r="E3" s="5"/>
      <c r="F3" s="2"/>
      <c r="G3" s="2"/>
      <c r="H3" s="2"/>
      <c r="I3" s="3"/>
    </row>
    <row r="4" spans="1:10" x14ac:dyDescent="0.25">
      <c r="A4" s="4"/>
      <c r="B4" s="14">
        <v>1060</v>
      </c>
      <c r="C4" s="1" t="s">
        <v>0</v>
      </c>
      <c r="D4" s="14">
        <v>-7.22</v>
      </c>
      <c r="E4" s="5"/>
      <c r="F4" s="2"/>
      <c r="G4" s="2"/>
      <c r="H4" s="2"/>
      <c r="I4" s="3"/>
    </row>
    <row r="5" spans="1:10" x14ac:dyDescent="0.25">
      <c r="A5" s="15"/>
      <c r="B5" s="5"/>
      <c r="C5" s="5"/>
      <c r="D5" s="2"/>
      <c r="E5" s="5"/>
      <c r="F5" s="2"/>
      <c r="G5" s="2"/>
      <c r="H5" s="2"/>
      <c r="I5" s="3"/>
    </row>
    <row r="6" spans="1:10" x14ac:dyDescent="0.25">
      <c r="A6" s="15"/>
      <c r="B6" s="5"/>
      <c r="C6" s="5"/>
      <c r="D6" s="5"/>
      <c r="E6" s="5"/>
      <c r="F6" s="2"/>
      <c r="G6" s="2"/>
      <c r="H6" s="2"/>
      <c r="I6" s="3"/>
    </row>
    <row r="7" spans="1:10" x14ac:dyDescent="0.25">
      <c r="A7" s="15"/>
      <c r="B7" s="5" t="s">
        <v>2</v>
      </c>
      <c r="C7" s="5"/>
      <c r="D7" s="13" t="s">
        <v>7</v>
      </c>
      <c r="E7" s="5" t="s">
        <v>3</v>
      </c>
      <c r="F7" s="2"/>
      <c r="G7" s="13" t="s">
        <v>7</v>
      </c>
      <c r="H7" s="2"/>
      <c r="I7" s="3"/>
    </row>
    <row r="8" spans="1:10" x14ac:dyDescent="0.25">
      <c r="A8" s="15"/>
      <c r="B8" s="5"/>
      <c r="C8" s="5"/>
      <c r="D8" s="5"/>
      <c r="E8" s="5"/>
      <c r="F8" s="2"/>
      <c r="G8" s="2"/>
      <c r="H8" s="2"/>
      <c r="I8" s="3"/>
    </row>
    <row r="9" spans="1:10" x14ac:dyDescent="0.25">
      <c r="A9" s="15"/>
      <c r="B9" s="5"/>
      <c r="C9" s="5"/>
      <c r="D9" s="5"/>
      <c r="E9" s="5"/>
      <c r="F9" s="2"/>
      <c r="G9" s="2"/>
      <c r="H9" s="2"/>
      <c r="I9" s="3"/>
    </row>
    <row r="10" spans="1:10" x14ac:dyDescent="0.25">
      <c r="A10" s="21"/>
      <c r="B10" s="21"/>
      <c r="C10" s="21"/>
      <c r="D10" s="21"/>
      <c r="E10" s="21"/>
      <c r="F10" s="21"/>
      <c r="G10" s="21"/>
      <c r="H10" s="21"/>
      <c r="I10" s="21"/>
    </row>
    <row r="11" spans="1:10" x14ac:dyDescent="0.25">
      <c r="A11" s="15"/>
      <c r="B11" s="1"/>
      <c r="C11" s="5"/>
      <c r="D11" s="2"/>
      <c r="E11" s="5"/>
      <c r="F11" s="2"/>
      <c r="G11" s="2"/>
      <c r="H11" s="2"/>
      <c r="I11" s="3"/>
    </row>
    <row r="12" spans="1:10" x14ac:dyDescent="0.25">
      <c r="A12" s="15"/>
      <c r="B12" s="5"/>
      <c r="C12" s="5"/>
      <c r="D12" s="2"/>
      <c r="E12" s="5"/>
      <c r="F12" s="2"/>
      <c r="G12" s="2"/>
      <c r="H12" s="2"/>
      <c r="I12" s="3"/>
    </row>
    <row r="13" spans="1:10" x14ac:dyDescent="0.25">
      <c r="A13" s="15"/>
      <c r="B13" s="1"/>
      <c r="C13" s="5"/>
      <c r="D13" s="2"/>
      <c r="E13" s="5"/>
      <c r="F13" s="2"/>
      <c r="G13" s="2"/>
      <c r="H13" s="2"/>
      <c r="I13" s="3"/>
    </row>
    <row r="14" spans="1:10" x14ac:dyDescent="0.25">
      <c r="A14" s="15"/>
      <c r="B14" s="1"/>
      <c r="C14" s="5"/>
      <c r="D14" s="2"/>
      <c r="E14" s="5"/>
      <c r="F14" s="2"/>
      <c r="G14" s="2"/>
      <c r="H14" s="2"/>
      <c r="I14" s="3"/>
    </row>
    <row r="15" spans="1:10" x14ac:dyDescent="0.25">
      <c r="A15" s="15"/>
      <c r="B15" s="1"/>
      <c r="C15" s="5"/>
      <c r="D15" s="2"/>
      <c r="E15" s="5"/>
      <c r="F15" s="2"/>
      <c r="G15" s="2"/>
      <c r="H15" s="2"/>
      <c r="I15" s="3"/>
    </row>
    <row r="16" spans="1:10" x14ac:dyDescent="0.25">
      <c r="A16" s="15"/>
      <c r="B16" s="1"/>
      <c r="C16" s="5"/>
      <c r="D16" s="2"/>
      <c r="E16" s="5"/>
      <c r="F16" s="2"/>
      <c r="G16" s="2"/>
      <c r="H16" s="2"/>
      <c r="I16" s="3"/>
    </row>
    <row r="17" spans="1:9" x14ac:dyDescent="0.25">
      <c r="A17" s="15"/>
      <c r="B17" s="1"/>
      <c r="C17" s="5"/>
      <c r="D17" s="2"/>
      <c r="E17" s="5"/>
      <c r="F17" s="2"/>
      <c r="G17" s="2"/>
      <c r="H17" s="2"/>
      <c r="I17" s="3"/>
    </row>
    <row r="18" spans="1:9" x14ac:dyDescent="0.25">
      <c r="A18" s="16"/>
      <c r="B18" s="9"/>
      <c r="C18" s="10"/>
      <c r="D18" s="11"/>
      <c r="E18" s="10"/>
      <c r="F18" s="11"/>
      <c r="G18" s="11"/>
      <c r="H18" s="11"/>
      <c r="I18" s="12"/>
    </row>
  </sheetData>
  <sheetProtection formatCells="0" formatColumns="0" formatRows="0" insertColumns="0" insertRows="0" insertHyperlinks="0" deleteColumns="0" deleteRows="0" sort="0" autoFilter="0" pivotTables="0"/>
  <customSheetViews>
    <customSheetView guid="{A4DA0C6D-D584-455D-A4B7-603EE27383F6}" scale="113">
      <selection sqref="A1:J22"/>
      <pageMargins left="0.7" right="0.7" top="0.75" bottom="0.75" header="0.3" footer="0.3"/>
      <pageSetup orientation="portrait" r:id="rId1"/>
    </customSheetView>
  </customSheetViews>
  <mergeCells count="2">
    <mergeCell ref="A1:I1"/>
    <mergeCell ref="A10:I10"/>
  </mergeCells>
  <dataValidations count="2">
    <dataValidation type="list" allowBlank="1" showInputMessage="1" showErrorMessage="1" sqref="D7 G7">
      <formula1>"C,A"</formula1>
    </dataValidation>
    <dataValidation type="list" allowBlank="1" showInputMessage="1" showErrorMessage="1" sqref="B4">
      <formula1>"1060,1220"</formula1>
    </dataValidation>
  </dataValidation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odule2.increment_by_1">
                <anchor moveWithCells="1" sizeWithCells="1">
                  <from>
                    <xdr:col>2</xdr:col>
                    <xdr:colOff>409575</xdr:colOff>
                    <xdr:row>11</xdr:row>
                    <xdr:rowOff>19050</xdr:rowOff>
                  </from>
                  <to>
                    <xdr:col>4</xdr:col>
                    <xdr:colOff>581025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draw_button">
                <anchor moveWithCells="1" sizeWithCells="1">
                  <from>
                    <xdr:col>5</xdr:col>
                    <xdr:colOff>428625</xdr:colOff>
                    <xdr:row>2</xdr:row>
                    <xdr:rowOff>28575</xdr:rowOff>
                  </from>
                  <to>
                    <xdr:col>6</xdr:col>
                    <xdr:colOff>542925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Fill="0" autoPict="0" macro="[0]!up_button">
                <anchor moveWithCells="1" sizeWithCells="1">
                  <from>
                    <xdr:col>4</xdr:col>
                    <xdr:colOff>133350</xdr:colOff>
                    <xdr:row>2</xdr:row>
                    <xdr:rowOff>9525</xdr:rowOff>
                  </from>
                  <to>
                    <xdr:col>5</xdr:col>
                    <xdr:colOff>95250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down_button">
                <anchor moveWithCells="1" sizeWithCells="1">
                  <from>
                    <xdr:col>4</xdr:col>
                    <xdr:colOff>142875</xdr:colOff>
                    <xdr:row>3</xdr:row>
                    <xdr:rowOff>66675</xdr:rowOff>
                  </from>
                  <to>
                    <xdr:col>5</xdr:col>
                    <xdr:colOff>104775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E5"/>
  <sheetViews>
    <sheetView workbookViewId="0">
      <selection activeCell="E6" sqref="E6"/>
    </sheetView>
  </sheetViews>
  <sheetFormatPr defaultRowHeight="15" x14ac:dyDescent="0.25"/>
  <sheetData>
    <row r="3" spans="2:5" x14ac:dyDescent="0.25">
      <c r="B3" t="s">
        <v>4</v>
      </c>
      <c r="C3" t="s">
        <v>5</v>
      </c>
      <c r="E3" t="s">
        <v>6</v>
      </c>
    </row>
    <row r="4" spans="2:5" x14ac:dyDescent="0.25">
      <c r="B4">
        <v>2</v>
      </c>
      <c r="C4">
        <v>3</v>
      </c>
      <c r="E4">
        <f>(C5-C4)/(B5-B4)</f>
        <v>0.33333333333333331</v>
      </c>
    </row>
    <row r="5" spans="2:5" x14ac:dyDescent="0.25">
      <c r="B5" s="7">
        <v>5</v>
      </c>
      <c r="C5" s="7">
        <v>4</v>
      </c>
    </row>
  </sheetData>
  <customSheetViews>
    <customSheetView guid="{A4DA0C6D-D584-455D-A4B7-603EE27383F6}">
      <selection activeCell="E6" sqref="E6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C42" sqref="C42"/>
    </sheetView>
  </sheetViews>
  <sheetFormatPr defaultRowHeight="15" x14ac:dyDescent="0.25"/>
  <sheetData/>
  <customSheetViews>
    <customSheetView guid="{A4DA0C6D-D584-455D-A4B7-603EE27383F6}">
      <selection activeCell="C42" sqref="C42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pipe_culvert</vt:lpstr>
      <vt:lpstr>Sheet3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2020-04-07T10:57:46Z</dcterms:created>
  <dcterms:modified xsi:type="dcterms:W3CDTF">2020-06-28T21:52:33Z</dcterms:modified>
</cp:coreProperties>
</file>