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3315" windowWidth="13365" windowHeight="6930"/>
  </bookViews>
  <sheets>
    <sheet name="Pipe" sheetId="1" r:id="rId1"/>
    <sheet name="Box" sheetId="2" r:id="rId2"/>
    <sheet name="Slab" sheetId="3" r:id="rId3"/>
    <sheet name="Manhole" sheetId="7" r:id="rId4"/>
    <sheet name="RW_Reinforcement" sheetId="4" r:id="rId5"/>
    <sheet name="RW_CrashBarrier" sheetId="5" r:id="rId6"/>
    <sheet name="comput" sheetId="6" r:id="rId7"/>
  </sheets>
  <externalReferences>
    <externalReference r:id="rId8"/>
  </externalReferences>
  <definedNames>
    <definedName name="_xlnm._FilterDatabase" localSheetId="4" hidden="1">RW_Reinforcement!$A$1:$O$2</definedName>
    <definedName name="a_double">#REF!</definedName>
    <definedName name="a_single">#REF!</definedName>
    <definedName name="a_title">#REF!</definedName>
    <definedName name="a_triple">#REF!</definedName>
    <definedName name="ai_double">#REF!</definedName>
    <definedName name="ai_single">#REF!</definedName>
    <definedName name="ai_title">#REF!</definedName>
    <definedName name="ai_triple">#REF!</definedName>
    <definedName name="b_double">#REF!</definedName>
    <definedName name="b_single">#REF!</definedName>
    <definedName name="b_title">#REF!</definedName>
    <definedName name="b_triple">#REF!</definedName>
    <definedName name="c_double">#REF!</definedName>
    <definedName name="c_single">#REF!</definedName>
    <definedName name="c_title">#REF!</definedName>
    <definedName name="c_triple">#REF!</definedName>
  </definedNames>
  <calcPr calcId="144525"/>
</workbook>
</file>

<file path=xl/calcChain.xml><?xml version="1.0" encoding="utf-8"?>
<calcChain xmlns="http://schemas.openxmlformats.org/spreadsheetml/2006/main">
  <c r="H28" i="1" l="1"/>
  <c r="E21" i="1"/>
  <c r="E26" i="1"/>
  <c r="H25" i="1" l="1"/>
  <c r="H22" i="1"/>
  <c r="H19" i="1"/>
  <c r="H24" i="1" l="1"/>
  <c r="I24" i="7"/>
  <c r="I23" i="7"/>
  <c r="I22" i="7"/>
  <c r="I21" i="7"/>
  <c r="I20" i="7"/>
  <c r="I19" i="7"/>
  <c r="H14" i="7"/>
  <c r="H13" i="7"/>
  <c r="H12" i="7"/>
  <c r="H11" i="7"/>
  <c r="H10" i="7"/>
  <c r="H9" i="7"/>
  <c r="H8" i="7"/>
  <c r="H7" i="7"/>
  <c r="H6" i="7"/>
  <c r="H5" i="7"/>
  <c r="I38" i="1"/>
  <c r="I37" i="1"/>
  <c r="I36" i="1"/>
  <c r="I35" i="1"/>
  <c r="I34" i="1"/>
  <c r="I33" i="1"/>
  <c r="H27" i="1"/>
  <c r="H26" i="1"/>
  <c r="H23" i="1"/>
  <c r="H21" i="1"/>
  <c r="H20" i="1"/>
  <c r="I24" i="2"/>
  <c r="I23" i="2"/>
  <c r="I22" i="2"/>
  <c r="I21" i="2"/>
  <c r="I20" i="2"/>
  <c r="I19" i="2"/>
  <c r="H14" i="2"/>
  <c r="H13" i="2"/>
  <c r="H12" i="2"/>
  <c r="H11" i="2"/>
  <c r="H10" i="2"/>
  <c r="H9" i="2"/>
  <c r="H8" i="2"/>
  <c r="H7" i="2"/>
  <c r="H6" i="2"/>
  <c r="H5" i="2"/>
  <c r="I19" i="3"/>
  <c r="I20" i="3"/>
  <c r="I21" i="3"/>
  <c r="I22" i="3"/>
  <c r="I23" i="3"/>
  <c r="I24" i="3"/>
  <c r="H6" i="3"/>
  <c r="H7" i="3"/>
  <c r="H8" i="3"/>
  <c r="H9" i="3"/>
  <c r="H10" i="3"/>
  <c r="H11" i="3"/>
  <c r="H12" i="3"/>
  <c r="H13" i="3"/>
  <c r="H14" i="3"/>
  <c r="H5" i="3"/>
</calcChain>
</file>

<file path=xl/comments1.xml><?xml version="1.0" encoding="utf-8"?>
<comments xmlns="http://schemas.openxmlformats.org/spreadsheetml/2006/main">
  <authors>
    <author>Windows User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convert all this  to 
autocad text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convert all this  to 
autocad text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convert all this  to 
autocad text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convert all this  to 
autocad text</t>
        </r>
      </text>
    </comment>
  </commentList>
</comments>
</file>

<file path=xl/sharedStrings.xml><?xml version="1.0" encoding="utf-8"?>
<sst xmlns="http://schemas.openxmlformats.org/spreadsheetml/2006/main" count="220" uniqueCount="58">
  <si>
    <t>Standard_dwg__L_shaped</t>
  </si>
  <si>
    <t>Standard_dwg__Normal_shaped</t>
  </si>
  <si>
    <t>Reinforcement_Standard_dwg__L_shaped</t>
  </si>
  <si>
    <t>Standard_dwg__Massonary_RW</t>
  </si>
  <si>
    <t>type I Inlet datas</t>
  </si>
  <si>
    <t>type B back fill datas</t>
  </si>
  <si>
    <t>type A back fill datas</t>
  </si>
  <si>
    <t>type C back fill datas</t>
  </si>
  <si>
    <t>EXCAVATION DATAS</t>
  </si>
  <si>
    <t>BACKFILL DATAS</t>
  </si>
  <si>
    <t>115+293</t>
  </si>
  <si>
    <t>Replaced RCP</t>
  </si>
  <si>
    <t>626.41m</t>
  </si>
  <si>
    <t>R</t>
  </si>
  <si>
    <t>14m</t>
  </si>
  <si>
    <t>Type C End Wall</t>
  </si>
  <si>
    <t>0 Degree</t>
  </si>
  <si>
    <t xml:space="preserve">            Estimated Quantities [at 115+293 ]</t>
  </si>
  <si>
    <t xml:space="preserve">      Item </t>
  </si>
  <si>
    <t xml:space="preserve">     Quantity </t>
  </si>
  <si>
    <t>722.42 m3</t>
  </si>
  <si>
    <t>1.81 m3</t>
  </si>
  <si>
    <t>124.74 m3</t>
  </si>
  <si>
    <t>272.01 m3</t>
  </si>
  <si>
    <t>78.2 m2</t>
  </si>
  <si>
    <t>8.23 m3</t>
  </si>
  <si>
    <t xml:space="preserve">Chainage: </t>
  </si>
  <si>
    <t xml:space="preserve">Structure Type: </t>
  </si>
  <si>
    <t xml:space="preserve">Pipe Size: </t>
  </si>
  <si>
    <t xml:space="preserve">Invert Level: </t>
  </si>
  <si>
    <t xml:space="preserve">Flow Direction: </t>
  </si>
  <si>
    <t xml:space="preserve">Invert Slope: </t>
  </si>
  <si>
    <t xml:space="preserve">Pipe Length: </t>
  </si>
  <si>
    <t xml:space="preserve">LHS End Structure: </t>
  </si>
  <si>
    <t xml:space="preserve">RHS End Structure: </t>
  </si>
  <si>
    <t xml:space="preserve">Skew Ang: </t>
  </si>
  <si>
    <t xml:space="preserve"> ----------</t>
  </si>
  <si>
    <t xml:space="preserve"> </t>
  </si>
  <si>
    <t>Single 42 inch</t>
  </si>
  <si>
    <t xml:space="preserve">Structural Excavation: </t>
  </si>
  <si>
    <t xml:space="preserve">Channel Excavation: </t>
  </si>
  <si>
    <t xml:space="preserve">Backfill: </t>
  </si>
  <si>
    <t xml:space="preserve">Cement Mortared Stone Masonry: </t>
  </si>
  <si>
    <t xml:space="preserve">Grouted Stone Pitch: </t>
  </si>
  <si>
    <t xml:space="preserve">Class 'B' Bedding: </t>
  </si>
  <si>
    <t xml:space="preserve">  </t>
  </si>
  <si>
    <t>Box</t>
  </si>
  <si>
    <t>Slab</t>
  </si>
  <si>
    <t>Manhole</t>
  </si>
  <si>
    <t>RCP</t>
  </si>
  <si>
    <t>RBC</t>
  </si>
  <si>
    <t>adjust</t>
  </si>
  <si>
    <t>adjuste</t>
  </si>
  <si>
    <t>*** ones you have to adjust with table creating schema.</t>
  </si>
  <si>
    <t>** consist of the following</t>
  </si>
  <si>
    <t>**slope</t>
  </si>
  <si>
    <t>**invert elevation</t>
  </si>
  <si>
    <t>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</si>
</sst>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7" formatCode="0\+000"/>
    <numFmt numFmtId="168" formatCode="0.00&quot;m&quot;"/>
    <numFmt numFmtId="169" formatCode="0&quot; Degree&quot;"/>
  </numFmts>
  <fonts count="1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FF0000"/>
      <name val="Book Antiqua"/>
      <family val="1"/>
    </font>
    <font>
      <u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7030A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1" fillId="0" borderId="0" xfId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0" fontId="1" fillId="2" borderId="0" xfId="1" applyFill="1" applyBorder="1" applyAlignment="1">
      <alignment horizontal="left"/>
    </xf>
    <xf numFmtId="0" fontId="1" fillId="2" borderId="4" xfId="1" applyFill="1" applyBorder="1" applyAlignment="1">
      <alignment horizontal="right"/>
    </xf>
    <xf numFmtId="0" fontId="2" fillId="2" borderId="0" xfId="1" applyFont="1" applyFill="1" applyBorder="1"/>
    <xf numFmtId="0" fontId="1" fillId="2" borderId="0" xfId="1" applyFill="1" applyBorder="1" applyAlignment="1">
      <alignment horizontal="right"/>
    </xf>
    <xf numFmtId="0" fontId="1" fillId="0" borderId="0" xfId="1" applyBorder="1"/>
    <xf numFmtId="0" fontId="4" fillId="0" borderId="0" xfId="1" applyFont="1" applyBorder="1"/>
    <xf numFmtId="0" fontId="5" fillId="2" borderId="0" xfId="1" applyFont="1" applyFill="1" applyBorder="1"/>
    <xf numFmtId="0" fontId="1" fillId="2" borderId="5" xfId="1" applyFill="1" applyBorder="1" applyAlignment="1">
      <alignment horizontal="left"/>
    </xf>
    <xf numFmtId="0" fontId="1" fillId="2" borderId="5" xfId="1" applyFill="1" applyBorder="1"/>
    <xf numFmtId="0" fontId="1" fillId="2" borderId="6" xfId="1" applyFill="1" applyBorder="1" applyAlignment="1">
      <alignment horizontal="right"/>
    </xf>
    <xf numFmtId="0" fontId="1" fillId="2" borderId="2" xfId="1" applyFill="1" applyBorder="1" applyAlignment="1">
      <alignment horizontal="left"/>
    </xf>
    <xf numFmtId="0" fontId="1" fillId="2" borderId="2" xfId="1" applyFill="1" applyBorder="1"/>
    <xf numFmtId="0" fontId="1" fillId="2" borderId="3" xfId="1" applyFill="1" applyBorder="1" applyAlignment="1">
      <alignment horizontal="right"/>
    </xf>
    <xf numFmtId="0" fontId="5" fillId="2" borderId="4" xfId="1" applyFont="1" applyFill="1" applyBorder="1"/>
    <xf numFmtId="0" fontId="0" fillId="2" borderId="4" xfId="0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7" fillId="2" borderId="0" xfId="0" applyFont="1" applyFill="1" applyBorder="1" applyAlignment="1"/>
    <xf numFmtId="0" fontId="7" fillId="2" borderId="7" xfId="0" applyFont="1" applyFill="1" applyBorder="1" applyAlignment="1"/>
    <xf numFmtId="0" fontId="0" fillId="2" borderId="3" xfId="0" applyFill="1" applyBorder="1"/>
    <xf numFmtId="0" fontId="0" fillId="2" borderId="8" xfId="0" applyFill="1" applyBorder="1" applyAlignment="1">
      <alignment horizontal="left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10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3" xfId="0" applyFill="1" applyBorder="1" applyAlignment="1">
      <alignment horizontal="right"/>
    </xf>
    <xf numFmtId="0" fontId="0" fillId="2" borderId="2" xfId="0" applyFill="1" applyBorder="1"/>
    <xf numFmtId="0" fontId="0" fillId="2" borderId="8" xfId="0" applyFill="1" applyBorder="1"/>
    <xf numFmtId="0" fontId="0" fillId="2" borderId="5" xfId="0" applyFill="1" applyBorder="1"/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167" fontId="10" fillId="2" borderId="3" xfId="0" applyNumberFormat="1" applyFont="1" applyFill="1" applyBorder="1" applyAlignment="1">
      <alignment horizontal="left"/>
    </xf>
    <xf numFmtId="0" fontId="10" fillId="2" borderId="8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left"/>
    </xf>
    <xf numFmtId="0" fontId="10" fillId="2" borderId="7" xfId="0" applyFont="1" applyFill="1" applyBorder="1" applyAlignment="1">
      <alignment horizontal="left"/>
    </xf>
    <xf numFmtId="0" fontId="10" fillId="2" borderId="6" xfId="0" applyFont="1" applyFill="1" applyBorder="1" applyAlignment="1">
      <alignment horizontal="left"/>
    </xf>
    <xf numFmtId="0" fontId="10" fillId="2" borderId="9" xfId="0" applyFont="1" applyFill="1" applyBorder="1" applyAlignment="1">
      <alignment horizontal="left"/>
    </xf>
    <xf numFmtId="0" fontId="10" fillId="2" borderId="3" xfId="0" applyFont="1" applyFill="1" applyBorder="1"/>
    <xf numFmtId="168" fontId="10" fillId="5" borderId="4" xfId="0" applyNumberFormat="1" applyFont="1" applyFill="1" applyBorder="1" applyAlignment="1">
      <alignment horizontal="left"/>
    </xf>
    <xf numFmtId="0" fontId="10" fillId="5" borderId="4" xfId="0" applyFont="1" applyFill="1" applyBorder="1" applyAlignment="1">
      <alignment horizontal="left"/>
    </xf>
    <xf numFmtId="10" fontId="10" fillId="5" borderId="4" xfId="0" applyNumberFormat="1" applyFont="1" applyFill="1" applyBorder="1" applyAlignment="1">
      <alignment horizontal="left"/>
    </xf>
    <xf numFmtId="169" fontId="10" fillId="2" borderId="6" xfId="0" applyNumberFormat="1" applyFont="1" applyFill="1" applyBorder="1" applyAlignment="1">
      <alignment horizontal="left"/>
    </xf>
    <xf numFmtId="0" fontId="0" fillId="5" borderId="0" xfId="0" applyFill="1" applyBorder="1"/>
    <xf numFmtId="0" fontId="3" fillId="5" borderId="1" xfId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0" fontId="1" fillId="0" borderId="1" xfId="1" applyBorder="1" applyAlignment="1">
      <alignment horizontal="center"/>
    </xf>
    <xf numFmtId="0" fontId="6" fillId="0" borderId="1" xfId="1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4</xdr:row>
          <xdr:rowOff>104775</xdr:rowOff>
        </xdr:from>
        <xdr:to>
          <xdr:col>5</xdr:col>
          <xdr:colOff>114300</xdr:colOff>
          <xdr:row>7</xdr:row>
          <xdr:rowOff>47625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Grid_Table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4</xdr:row>
          <xdr:rowOff>104775</xdr:rowOff>
        </xdr:from>
        <xdr:to>
          <xdr:col>6</xdr:col>
          <xdr:colOff>409575</xdr:colOff>
          <xdr:row>7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Annotate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PipeEnd_data"/>
      <sheetName val="Manhole"/>
      <sheetName val="RW_Section"/>
      <sheetName val="RW_Massonary"/>
      <sheetName val="BOX_CU"/>
      <sheetName val="SLB_CU"/>
      <sheetName val="Sheet1"/>
    </sheetNames>
    <sheetDataSet>
      <sheetData sheetId="0">
        <row r="5">
          <cell r="B5">
            <v>48</v>
          </cell>
        </row>
        <row r="6">
          <cell r="J6">
            <v>2</v>
          </cell>
        </row>
        <row r="7">
          <cell r="D7" t="str">
            <v>A_Inlet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0"/>
  <sheetViews>
    <sheetView tabSelected="1" zoomScaleNormal="100" workbookViewId="0">
      <selection activeCell="C7" sqref="C7"/>
    </sheetView>
  </sheetViews>
  <sheetFormatPr defaultRowHeight="12.75" x14ac:dyDescent="0.2"/>
  <cols>
    <col min="1" max="1" width="4.28515625" customWidth="1"/>
    <col min="4" max="4" width="10.5703125" customWidth="1"/>
    <col min="6" max="6" width="11.5703125" customWidth="1"/>
    <col min="7" max="7" width="8.5703125" customWidth="1"/>
  </cols>
  <sheetData>
    <row r="1" spans="1:13" x14ac:dyDescent="0.2">
      <c r="A1" s="18"/>
      <c r="B1" s="22"/>
      <c r="C1" s="19"/>
      <c r="D1" s="20"/>
      <c r="E1" s="19"/>
      <c r="F1" s="20"/>
      <c r="G1" s="20"/>
      <c r="H1" s="20"/>
      <c r="I1" s="20"/>
      <c r="J1" s="20"/>
      <c r="K1" s="20"/>
      <c r="L1" s="20"/>
      <c r="M1" s="21"/>
    </row>
    <row r="2" spans="1:13" x14ac:dyDescent="0.2">
      <c r="A2" s="18"/>
      <c r="B2" s="22"/>
      <c r="C2" s="19"/>
      <c r="D2" s="20"/>
      <c r="E2" s="19"/>
      <c r="F2" s="20"/>
      <c r="G2" s="20"/>
      <c r="H2" s="20"/>
      <c r="I2" s="20"/>
      <c r="J2" s="20"/>
      <c r="K2" s="20"/>
      <c r="L2" s="20"/>
      <c r="M2" s="21"/>
    </row>
    <row r="3" spans="1:13" x14ac:dyDescent="0.2">
      <c r="A3" s="18"/>
      <c r="B3" s="22"/>
      <c r="C3" s="19"/>
      <c r="D3" s="20"/>
      <c r="E3" s="19"/>
      <c r="F3" s="20"/>
      <c r="G3" s="20"/>
      <c r="H3" s="20"/>
      <c r="I3" s="20"/>
      <c r="J3" s="20"/>
      <c r="K3" s="20"/>
      <c r="L3" s="20"/>
      <c r="M3" s="21"/>
    </row>
    <row r="4" spans="1:13" x14ac:dyDescent="0.2">
      <c r="A4" s="18"/>
      <c r="B4" s="22"/>
      <c r="C4" s="58"/>
      <c r="D4" s="20" t="s">
        <v>53</v>
      </c>
      <c r="E4" s="19"/>
      <c r="F4" s="20"/>
      <c r="G4" s="20"/>
      <c r="H4" s="20"/>
      <c r="I4" s="20"/>
      <c r="J4" s="20"/>
      <c r="K4" s="20"/>
      <c r="L4" s="20"/>
      <c r="M4" s="21"/>
    </row>
    <row r="5" spans="1:13" x14ac:dyDescent="0.2">
      <c r="A5" s="18"/>
      <c r="B5" s="22"/>
      <c r="C5" s="19"/>
      <c r="D5" s="20"/>
      <c r="E5" s="19"/>
      <c r="F5" s="20"/>
      <c r="G5" s="20"/>
      <c r="H5" s="20"/>
      <c r="I5" s="20"/>
      <c r="J5" s="20"/>
      <c r="K5" s="20"/>
      <c r="L5" s="20"/>
      <c r="M5" s="21"/>
    </row>
    <row r="6" spans="1:13" x14ac:dyDescent="0.2">
      <c r="A6" s="18"/>
      <c r="B6" s="22"/>
      <c r="C6" s="19"/>
      <c r="D6" s="20"/>
      <c r="E6" s="19"/>
      <c r="F6" s="20"/>
      <c r="G6" s="20"/>
      <c r="H6" s="20"/>
      <c r="I6" s="20"/>
      <c r="J6" s="20"/>
      <c r="K6" s="20"/>
      <c r="L6" s="20"/>
      <c r="M6" s="21"/>
    </row>
    <row r="7" spans="1:13" x14ac:dyDescent="0.2">
      <c r="A7" s="18"/>
      <c r="B7" s="22"/>
      <c r="C7" s="19"/>
      <c r="D7" s="20"/>
      <c r="E7" s="19"/>
      <c r="F7" s="20"/>
      <c r="G7" s="20"/>
      <c r="H7" s="20"/>
      <c r="I7" s="20"/>
      <c r="J7" s="20"/>
      <c r="K7" s="20"/>
      <c r="L7" s="20"/>
      <c r="M7" s="21"/>
    </row>
    <row r="8" spans="1:13" x14ac:dyDescent="0.2">
      <c r="A8" s="18"/>
      <c r="B8" s="22"/>
      <c r="C8" s="19"/>
      <c r="D8" s="20"/>
      <c r="E8" s="19"/>
      <c r="F8" s="20"/>
      <c r="G8" s="20"/>
      <c r="H8" s="20"/>
      <c r="I8" s="20"/>
      <c r="J8" s="20"/>
      <c r="K8" s="20"/>
      <c r="L8" s="20"/>
      <c r="M8" s="21"/>
    </row>
    <row r="9" spans="1:13" x14ac:dyDescent="0.2">
      <c r="A9" s="18"/>
      <c r="B9" s="22"/>
      <c r="C9" s="19"/>
      <c r="D9" s="20"/>
      <c r="E9" s="19"/>
      <c r="F9" s="20"/>
      <c r="G9" s="20" t="s">
        <v>54</v>
      </c>
      <c r="H9" s="20"/>
      <c r="I9" s="20"/>
      <c r="J9" s="20"/>
      <c r="K9" s="20"/>
      <c r="L9" s="20"/>
      <c r="M9" s="21"/>
    </row>
    <row r="10" spans="1:13" x14ac:dyDescent="0.2">
      <c r="A10" s="18"/>
      <c r="B10" s="22"/>
      <c r="C10" s="19"/>
      <c r="D10" s="20"/>
      <c r="E10" s="19"/>
      <c r="F10" s="20"/>
      <c r="G10" s="20"/>
      <c r="H10" s="20" t="s">
        <v>55</v>
      </c>
      <c r="I10" s="20"/>
      <c r="J10" s="20"/>
      <c r="K10" s="20"/>
      <c r="L10" s="20"/>
      <c r="M10" s="21"/>
    </row>
    <row r="11" spans="1:13" x14ac:dyDescent="0.2">
      <c r="A11" s="18"/>
      <c r="B11" s="22"/>
      <c r="C11" s="19"/>
      <c r="D11" s="20"/>
      <c r="E11" s="19"/>
      <c r="F11" s="20"/>
      <c r="G11" s="20"/>
      <c r="H11" s="20" t="s">
        <v>56</v>
      </c>
      <c r="I11" s="20"/>
      <c r="J11" s="20"/>
      <c r="K11" s="20"/>
      <c r="L11" s="20"/>
      <c r="M11" s="21"/>
    </row>
    <row r="12" spans="1:13" x14ac:dyDescent="0.2">
      <c r="A12" s="18"/>
      <c r="B12" s="22"/>
      <c r="C12" s="19"/>
      <c r="D12" s="20"/>
      <c r="E12" s="19"/>
      <c r="F12" s="20"/>
      <c r="G12" s="20"/>
      <c r="H12" s="20" t="s">
        <v>57</v>
      </c>
      <c r="I12" s="20"/>
      <c r="J12" s="20"/>
      <c r="K12" s="20"/>
      <c r="L12" s="20"/>
      <c r="M12" s="21"/>
    </row>
    <row r="13" spans="1:13" x14ac:dyDescent="0.2">
      <c r="A13" s="18"/>
      <c r="B13" s="22"/>
      <c r="C13" s="19"/>
      <c r="D13" s="20"/>
      <c r="E13" s="19"/>
      <c r="F13" s="20"/>
      <c r="G13" s="20"/>
      <c r="H13" s="20"/>
      <c r="I13" s="20"/>
      <c r="J13" s="20"/>
      <c r="K13" s="20"/>
      <c r="L13" s="20"/>
      <c r="M13" s="21"/>
    </row>
    <row r="14" spans="1:13" x14ac:dyDescent="0.2">
      <c r="A14" s="18"/>
      <c r="B14" s="22"/>
      <c r="C14" s="19"/>
      <c r="D14" s="20"/>
      <c r="E14" s="19"/>
      <c r="F14" s="20"/>
      <c r="G14" s="20"/>
      <c r="H14" s="20"/>
      <c r="I14" s="20"/>
      <c r="J14" s="20"/>
      <c r="K14" s="20"/>
      <c r="L14" s="20"/>
      <c r="M14" s="21"/>
    </row>
    <row r="15" spans="1:13" x14ac:dyDescent="0.2">
      <c r="A15" s="18"/>
      <c r="B15" s="22"/>
      <c r="C15" s="19"/>
      <c r="D15" s="20"/>
      <c r="E15" s="19"/>
      <c r="F15" s="20"/>
      <c r="G15" s="20"/>
      <c r="H15" s="20"/>
      <c r="I15" s="20"/>
      <c r="J15" s="20"/>
      <c r="K15" s="20"/>
      <c r="L15" s="20"/>
      <c r="M15" s="21"/>
    </row>
    <row r="16" spans="1:13" x14ac:dyDescent="0.2">
      <c r="A16" s="18"/>
      <c r="B16" s="22"/>
      <c r="C16" s="19"/>
      <c r="D16" s="20"/>
      <c r="E16" s="19"/>
      <c r="F16" s="20"/>
      <c r="G16" s="20"/>
      <c r="H16" s="20"/>
      <c r="I16" s="20"/>
      <c r="J16" s="20"/>
      <c r="K16" s="20"/>
      <c r="L16" s="20"/>
      <c r="M16" s="21"/>
    </row>
    <row r="17" spans="1:13" x14ac:dyDescent="0.2">
      <c r="A17" s="18"/>
      <c r="B17" s="22"/>
      <c r="C17" s="19"/>
      <c r="D17" s="20"/>
      <c r="E17" s="19"/>
      <c r="F17" s="20"/>
      <c r="G17" s="20"/>
      <c r="H17" s="20"/>
      <c r="I17" s="20"/>
      <c r="J17" s="20"/>
      <c r="K17" s="20"/>
      <c r="L17" s="20"/>
      <c r="M17" s="21"/>
    </row>
    <row r="18" spans="1:13" ht="15" x14ac:dyDescent="0.25">
      <c r="A18" s="18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4"/>
    </row>
    <row r="19" spans="1:13" x14ac:dyDescent="0.2">
      <c r="A19" s="18"/>
      <c r="B19" s="25" t="s">
        <v>26</v>
      </c>
      <c r="C19" s="26"/>
      <c r="D19" s="19" t="s">
        <v>36</v>
      </c>
      <c r="E19" s="47">
        <v>123565</v>
      </c>
      <c r="F19" s="48"/>
      <c r="G19" s="20"/>
      <c r="H19" s="38" t="str">
        <f>CONCATENATE(B19,TEXT(E19,"0+000"))</f>
        <v>Chainage: 123+565</v>
      </c>
      <c r="I19" s="39"/>
      <c r="J19" s="39"/>
      <c r="K19" s="40"/>
      <c r="L19" s="20"/>
      <c r="M19" s="21"/>
    </row>
    <row r="20" spans="1:13" x14ac:dyDescent="0.2">
      <c r="A20" s="18"/>
      <c r="B20" s="27" t="s">
        <v>27</v>
      </c>
      <c r="C20" s="21"/>
      <c r="D20" s="19" t="s">
        <v>36</v>
      </c>
      <c r="E20" s="49" t="s">
        <v>49</v>
      </c>
      <c r="F20" s="50"/>
      <c r="G20" s="20"/>
      <c r="H20" s="41" t="str">
        <f t="shared" ref="H20:H27" si="0">CONCATENATE(B20,E20)</f>
        <v>Structure Type: RCP</v>
      </c>
      <c r="I20" s="42"/>
      <c r="J20" s="42"/>
      <c r="K20" s="43"/>
      <c r="L20" s="20"/>
      <c r="M20" s="21"/>
    </row>
    <row r="21" spans="1:13" x14ac:dyDescent="0.2">
      <c r="A21" s="18"/>
      <c r="B21" s="27" t="s">
        <v>28</v>
      </c>
      <c r="C21" s="21"/>
      <c r="D21" s="19" t="s">
        <v>36</v>
      </c>
      <c r="E21" s="49" t="str">
        <f>IF([1]main!$J$6=1,"Single",IF([1]main!$J$6=2,"Double",IF([1]main!$J$6=3,"Triple")))&amp;" "&amp;[1]main!$B$5&amp; " inch"</f>
        <v>Double 48 inch</v>
      </c>
      <c r="F21" s="50"/>
      <c r="G21" s="20"/>
      <c r="H21" s="41" t="str">
        <f t="shared" si="0"/>
        <v>Pipe Size: Double 48 inch</v>
      </c>
      <c r="I21" s="42"/>
      <c r="J21" s="42"/>
      <c r="K21" s="43"/>
      <c r="L21" s="20"/>
      <c r="M21" s="21"/>
    </row>
    <row r="22" spans="1:13" x14ac:dyDescent="0.2">
      <c r="A22" s="18"/>
      <c r="B22" s="27" t="s">
        <v>29</v>
      </c>
      <c r="C22" s="21"/>
      <c r="D22" s="19" t="s">
        <v>36</v>
      </c>
      <c r="E22" s="54">
        <v>626.41</v>
      </c>
      <c r="F22" s="50"/>
      <c r="G22" s="20"/>
      <c r="H22" s="41" t="str">
        <f>CONCATENATE(B22,E22,"m")</f>
        <v>Invert Level: 626.41m</v>
      </c>
      <c r="I22" s="42"/>
      <c r="J22" s="42"/>
      <c r="K22" s="43"/>
      <c r="L22" s="20"/>
      <c r="M22" s="21"/>
    </row>
    <row r="23" spans="1:13" x14ac:dyDescent="0.2">
      <c r="A23" s="18"/>
      <c r="B23" s="27" t="s">
        <v>30</v>
      </c>
      <c r="C23" s="21"/>
      <c r="D23" s="19" t="s">
        <v>36</v>
      </c>
      <c r="E23" s="55" t="s">
        <v>13</v>
      </c>
      <c r="F23" s="50"/>
      <c r="G23" s="20"/>
      <c r="H23" s="41" t="str">
        <f t="shared" si="0"/>
        <v>Flow Direction: R</v>
      </c>
      <c r="I23" s="42"/>
      <c r="J23" s="42"/>
      <c r="K23" s="43"/>
      <c r="L23" s="20"/>
      <c r="M23" s="21"/>
    </row>
    <row r="24" spans="1:13" x14ac:dyDescent="0.2">
      <c r="A24" s="18"/>
      <c r="B24" s="27" t="s">
        <v>31</v>
      </c>
      <c r="C24" s="21"/>
      <c r="D24" s="19" t="s">
        <v>36</v>
      </c>
      <c r="E24" s="56">
        <v>8.0000000000000002E-3</v>
      </c>
      <c r="F24" s="50"/>
      <c r="G24" s="20"/>
      <c r="H24" s="41" t="str">
        <f>CONCATENATE(B24,TEXT(E24,"0.00%"))</f>
        <v>Invert Slope: 0.80%</v>
      </c>
      <c r="I24" s="42"/>
      <c r="J24" s="42"/>
      <c r="K24" s="43"/>
      <c r="L24" s="20"/>
      <c r="M24" s="21"/>
    </row>
    <row r="25" spans="1:13" x14ac:dyDescent="0.2">
      <c r="A25" s="18"/>
      <c r="B25" s="27" t="s">
        <v>32</v>
      </c>
      <c r="C25" s="21"/>
      <c r="D25" s="19" t="s">
        <v>36</v>
      </c>
      <c r="E25" s="54">
        <v>14</v>
      </c>
      <c r="F25" s="50"/>
      <c r="G25" s="20"/>
      <c r="H25" s="41" t="str">
        <f>CONCATENATE(B25,E25,"m")</f>
        <v>Pipe Length: 14m</v>
      </c>
      <c r="I25" s="42"/>
      <c r="J25" s="42"/>
      <c r="K25" s="43"/>
      <c r="L25" s="20"/>
      <c r="M25" s="21"/>
    </row>
    <row r="26" spans="1:13" x14ac:dyDescent="0.2">
      <c r="A26" s="18"/>
      <c r="B26" s="27" t="s">
        <v>33</v>
      </c>
      <c r="C26" s="21"/>
      <c r="D26" s="19" t="s">
        <v>36</v>
      </c>
      <c r="E26" s="49" t="str">
        <f>"Type "&amp;[1]main!$D$7&amp;" End Wall"</f>
        <v>Type A_Inlet End Wall</v>
      </c>
      <c r="F26" s="50"/>
      <c r="G26" s="20"/>
      <c r="H26" s="41" t="str">
        <f t="shared" si="0"/>
        <v>LHS End Structure: Type A_Inlet End Wall</v>
      </c>
      <c r="I26" s="42"/>
      <c r="J26" s="42"/>
      <c r="K26" s="43"/>
      <c r="L26" s="20"/>
      <c r="M26" s="21"/>
    </row>
    <row r="27" spans="1:13" x14ac:dyDescent="0.2">
      <c r="A27" s="18"/>
      <c r="B27" s="27" t="s">
        <v>34</v>
      </c>
      <c r="C27" s="21"/>
      <c r="D27" s="19" t="s">
        <v>36</v>
      </c>
      <c r="E27" s="49" t="s">
        <v>15</v>
      </c>
      <c r="F27" s="50"/>
      <c r="G27" s="20"/>
      <c r="H27" s="41" t="str">
        <f t="shared" si="0"/>
        <v>RHS End Structure: Type C End Wall</v>
      </c>
      <c r="I27" s="42"/>
      <c r="J27" s="42"/>
      <c r="K27" s="43"/>
      <c r="L27" s="20"/>
      <c r="M27" s="21"/>
    </row>
    <row r="28" spans="1:13" x14ac:dyDescent="0.2">
      <c r="A28" s="18"/>
      <c r="B28" s="28" t="s">
        <v>35</v>
      </c>
      <c r="C28" s="29"/>
      <c r="D28" s="19" t="s">
        <v>36</v>
      </c>
      <c r="E28" s="57">
        <v>0</v>
      </c>
      <c r="F28" s="52"/>
      <c r="G28" s="20"/>
      <c r="H28" s="44" t="str">
        <f>CONCATENATE(B28,E28," Degree")</f>
        <v>Skew Ang: 0 Degree</v>
      </c>
      <c r="I28" s="45"/>
      <c r="J28" s="45"/>
      <c r="K28" s="46"/>
      <c r="L28" s="20"/>
      <c r="M28" s="21"/>
    </row>
    <row r="29" spans="1:13" x14ac:dyDescent="0.2">
      <c r="A29" s="18"/>
      <c r="B29" s="22"/>
      <c r="C29" s="19"/>
      <c r="D29" s="20"/>
      <c r="E29" s="19"/>
      <c r="F29" s="20"/>
      <c r="G29" s="20"/>
      <c r="H29" s="20"/>
      <c r="I29" s="20"/>
      <c r="J29" s="20"/>
      <c r="K29" s="20"/>
      <c r="L29" s="20"/>
      <c r="M29" s="21"/>
    </row>
    <row r="30" spans="1:13" x14ac:dyDescent="0.2">
      <c r="A30" s="18"/>
      <c r="B30" s="19" t="s">
        <v>17</v>
      </c>
      <c r="C30" s="19"/>
      <c r="D30" s="20"/>
      <c r="E30" s="19"/>
      <c r="F30" s="20"/>
      <c r="G30" s="20"/>
      <c r="H30" s="20"/>
      <c r="I30" s="20"/>
      <c r="J30" s="20"/>
      <c r="K30" s="20"/>
      <c r="L30" s="20"/>
      <c r="M30" s="21"/>
    </row>
    <row r="31" spans="1:13" x14ac:dyDescent="0.2">
      <c r="A31" s="18"/>
      <c r="B31" s="22"/>
      <c r="C31" s="19"/>
      <c r="D31" s="22"/>
      <c r="E31" s="22"/>
      <c r="F31" s="22"/>
      <c r="G31" s="20"/>
      <c r="H31" s="20"/>
      <c r="I31" s="20"/>
      <c r="J31" s="20"/>
      <c r="K31" s="20"/>
      <c r="L31" s="20"/>
      <c r="M31" s="21"/>
    </row>
    <row r="32" spans="1:13" x14ac:dyDescent="0.2">
      <c r="A32" s="18"/>
      <c r="B32" s="34" t="s">
        <v>37</v>
      </c>
      <c r="C32" s="35"/>
      <c r="D32" s="36"/>
      <c r="E32" s="20"/>
      <c r="F32" s="53" t="s">
        <v>19</v>
      </c>
      <c r="G32" s="48"/>
      <c r="H32" s="20"/>
      <c r="I32" s="20"/>
      <c r="J32" s="20"/>
      <c r="K32" s="20"/>
      <c r="L32" s="20"/>
      <c r="M32" s="21"/>
    </row>
    <row r="33" spans="1:13" x14ac:dyDescent="0.2">
      <c r="A33" s="18"/>
      <c r="B33" s="27" t="s">
        <v>39</v>
      </c>
      <c r="C33" s="19"/>
      <c r="D33" s="21"/>
      <c r="E33" s="19" t="s">
        <v>36</v>
      </c>
      <c r="F33" s="49" t="s">
        <v>20</v>
      </c>
      <c r="G33" s="50"/>
      <c r="H33" s="20"/>
      <c r="I33" s="38" t="str">
        <f t="shared" ref="I33:I38" si="1">CONCATENATE(B33,F33)</f>
        <v>Structural Excavation: 722.42 m3</v>
      </c>
      <c r="J33" s="39"/>
      <c r="K33" s="39"/>
      <c r="L33" s="39"/>
      <c r="M33" s="40"/>
    </row>
    <row r="34" spans="1:13" x14ac:dyDescent="0.2">
      <c r="A34" s="18"/>
      <c r="B34" s="27" t="s">
        <v>40</v>
      </c>
      <c r="C34" s="19"/>
      <c r="D34" s="21"/>
      <c r="E34" s="19" t="s">
        <v>36</v>
      </c>
      <c r="F34" s="49" t="s">
        <v>21</v>
      </c>
      <c r="G34" s="50"/>
      <c r="H34" s="20"/>
      <c r="I34" s="41" t="str">
        <f t="shared" si="1"/>
        <v>Channel Excavation: 1.81 m3</v>
      </c>
      <c r="J34" s="42"/>
      <c r="K34" s="42"/>
      <c r="L34" s="42"/>
      <c r="M34" s="43"/>
    </row>
    <row r="35" spans="1:13" x14ac:dyDescent="0.2">
      <c r="A35" s="18"/>
      <c r="B35" s="27" t="s">
        <v>41</v>
      </c>
      <c r="C35" s="19"/>
      <c r="D35" s="21"/>
      <c r="E35" s="19" t="s">
        <v>36</v>
      </c>
      <c r="F35" s="49" t="s">
        <v>22</v>
      </c>
      <c r="G35" s="50"/>
      <c r="H35" s="20"/>
      <c r="I35" s="41" t="str">
        <f t="shared" si="1"/>
        <v>Backfill: 124.74 m3</v>
      </c>
      <c r="J35" s="42"/>
      <c r="K35" s="42"/>
      <c r="L35" s="42"/>
      <c r="M35" s="43"/>
    </row>
    <row r="36" spans="1:13" x14ac:dyDescent="0.2">
      <c r="A36" s="18"/>
      <c r="B36" s="27" t="s">
        <v>42</v>
      </c>
      <c r="C36" s="19"/>
      <c r="D36" s="21"/>
      <c r="E36" s="19" t="s">
        <v>36</v>
      </c>
      <c r="F36" s="49" t="s">
        <v>23</v>
      </c>
      <c r="G36" s="50"/>
      <c r="H36" s="20"/>
      <c r="I36" s="41" t="str">
        <f t="shared" si="1"/>
        <v>Cement Mortared Stone Masonry: 272.01 m3</v>
      </c>
      <c r="J36" s="42"/>
      <c r="K36" s="42"/>
      <c r="L36" s="42"/>
      <c r="M36" s="43"/>
    </row>
    <row r="37" spans="1:13" x14ac:dyDescent="0.2">
      <c r="A37" s="18"/>
      <c r="B37" s="27" t="s">
        <v>43</v>
      </c>
      <c r="C37" s="19"/>
      <c r="D37" s="21"/>
      <c r="E37" s="19" t="s">
        <v>36</v>
      </c>
      <c r="F37" s="49" t="s">
        <v>24</v>
      </c>
      <c r="G37" s="50"/>
      <c r="H37" s="20"/>
      <c r="I37" s="41" t="str">
        <f t="shared" si="1"/>
        <v>Grouted Stone Pitch: 78.2 m2</v>
      </c>
      <c r="J37" s="42"/>
      <c r="K37" s="42"/>
      <c r="L37" s="42"/>
      <c r="M37" s="43"/>
    </row>
    <row r="38" spans="1:13" x14ac:dyDescent="0.2">
      <c r="A38" s="18"/>
      <c r="B38" s="28" t="s">
        <v>44</v>
      </c>
      <c r="C38" s="37"/>
      <c r="D38" s="29"/>
      <c r="E38" s="19" t="s">
        <v>36</v>
      </c>
      <c r="F38" s="51" t="s">
        <v>25</v>
      </c>
      <c r="G38" s="52"/>
      <c r="H38" s="20"/>
      <c r="I38" s="44" t="str">
        <f t="shared" si="1"/>
        <v>Class 'B' Bedding: 8.23 m3</v>
      </c>
      <c r="J38" s="45"/>
      <c r="K38" s="45"/>
      <c r="L38" s="45"/>
      <c r="M38" s="46"/>
    </row>
    <row r="39" spans="1:13" x14ac:dyDescent="0.2">
      <c r="A39" s="18"/>
      <c r="B39" s="22"/>
      <c r="C39" s="19"/>
      <c r="D39" s="20"/>
      <c r="E39" s="19"/>
      <c r="F39" s="20"/>
      <c r="G39" s="20"/>
      <c r="H39" s="20"/>
      <c r="I39" s="20"/>
      <c r="J39" s="20"/>
      <c r="K39" s="20"/>
      <c r="L39" s="20"/>
      <c r="M39" s="21"/>
    </row>
    <row r="40" spans="1:13" x14ac:dyDescent="0.2">
      <c r="H40" t="s">
        <v>45</v>
      </c>
    </row>
  </sheetData>
  <pageMargins left="0.7" right="0.7" top="0.75" bottom="0.75" header="0.3" footer="0.3"/>
  <pageSetup orientation="portrait" r:id="rId1"/>
  <ignoredErrors>
    <ignoredError sqref="H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>
                <anchor moveWithCells="1" sizeWithCells="1">
                  <from>
                    <xdr:col>3</xdr:col>
                    <xdr:colOff>466725</xdr:colOff>
                    <xdr:row>4</xdr:row>
                    <xdr:rowOff>104775</xdr:rowOff>
                  </from>
                  <to>
                    <xdr:col>5</xdr:col>
                    <xdr:colOff>114300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>
                <anchor moveWithCells="1" sizeWithCells="1">
                  <from>
                    <xdr:col>5</xdr:col>
                    <xdr:colOff>219075</xdr:colOff>
                    <xdr:row>4</xdr:row>
                    <xdr:rowOff>104775</xdr:rowOff>
                  </from>
                  <to>
                    <xdr:col>6</xdr:col>
                    <xdr:colOff>409575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7"/>
  <sheetViews>
    <sheetView zoomScaleNormal="100" workbookViewId="0">
      <selection activeCell="C19" sqref="C19"/>
    </sheetView>
  </sheetViews>
  <sheetFormatPr defaultRowHeight="12.75" x14ac:dyDescent="0.2"/>
  <cols>
    <col min="4" max="4" width="10.5703125" customWidth="1"/>
  </cols>
  <sheetData>
    <row r="1" spans="1:13" x14ac:dyDescent="0.2">
      <c r="A1" s="18" t="s">
        <v>37</v>
      </c>
      <c r="B1" s="19"/>
      <c r="C1" s="19"/>
      <c r="D1" s="20"/>
      <c r="E1" s="19"/>
      <c r="F1" s="20"/>
      <c r="G1" s="20"/>
      <c r="H1" s="20"/>
      <c r="I1" s="20"/>
      <c r="J1" s="20"/>
      <c r="K1" s="20"/>
      <c r="L1" s="20"/>
      <c r="M1" s="21"/>
    </row>
    <row r="2" spans="1:13" x14ac:dyDescent="0.2">
      <c r="A2" s="18"/>
      <c r="B2" s="22"/>
      <c r="C2" s="19"/>
      <c r="D2" s="20"/>
      <c r="E2" s="19"/>
      <c r="F2" s="20"/>
      <c r="G2" s="20"/>
      <c r="H2" s="20"/>
      <c r="I2" s="20"/>
      <c r="J2" s="20"/>
      <c r="K2" s="20"/>
      <c r="L2" s="20"/>
      <c r="M2" s="21"/>
    </row>
    <row r="3" spans="1:13" x14ac:dyDescent="0.2">
      <c r="A3" s="18"/>
      <c r="B3" s="22"/>
      <c r="C3" s="19"/>
      <c r="D3" s="20"/>
      <c r="E3" s="19"/>
      <c r="F3" s="20"/>
      <c r="G3" s="20"/>
      <c r="H3" s="20"/>
      <c r="I3" s="20"/>
      <c r="J3" s="20"/>
      <c r="K3" s="20"/>
      <c r="L3" s="20"/>
      <c r="M3" s="21"/>
    </row>
    <row r="4" spans="1:13" ht="15" x14ac:dyDescent="0.25">
      <c r="A4" s="18"/>
      <c r="B4" s="23"/>
      <c r="C4" s="23"/>
      <c r="D4" s="23" t="s">
        <v>46</v>
      </c>
      <c r="E4" s="23"/>
      <c r="F4" s="23"/>
      <c r="G4" s="23"/>
      <c r="H4" s="23"/>
      <c r="I4" s="23"/>
      <c r="J4" s="23"/>
      <c r="K4" s="23"/>
      <c r="L4" s="23"/>
      <c r="M4" s="24"/>
    </row>
    <row r="5" spans="1:13" x14ac:dyDescent="0.2">
      <c r="A5" s="18"/>
      <c r="B5" s="25" t="s">
        <v>51</v>
      </c>
      <c r="C5" s="26"/>
      <c r="D5" s="19" t="s">
        <v>36</v>
      </c>
      <c r="E5" s="30" t="s">
        <v>10</v>
      </c>
      <c r="F5" s="26"/>
      <c r="G5" s="20"/>
      <c r="H5" s="38" t="str">
        <f>CONCATENATE(B5,E5)</f>
        <v>adjust115+293</v>
      </c>
      <c r="I5" s="39"/>
      <c r="J5" s="39"/>
      <c r="K5" s="40"/>
      <c r="L5" s="20"/>
      <c r="M5" s="21"/>
    </row>
    <row r="6" spans="1:13" x14ac:dyDescent="0.2">
      <c r="A6" s="18"/>
      <c r="B6" s="27" t="s">
        <v>51</v>
      </c>
      <c r="C6" s="21"/>
      <c r="D6" s="19" t="s">
        <v>36</v>
      </c>
      <c r="E6" s="31" t="s">
        <v>50</v>
      </c>
      <c r="F6" s="21"/>
      <c r="G6" s="20"/>
      <c r="H6" s="41" t="str">
        <f t="shared" ref="H6:H14" si="0">CONCATENATE(B6,E6)</f>
        <v>adjustRBC</v>
      </c>
      <c r="I6" s="42"/>
      <c r="J6" s="42"/>
      <c r="K6" s="43"/>
      <c r="L6" s="20"/>
      <c r="M6" s="21"/>
    </row>
    <row r="7" spans="1:13" x14ac:dyDescent="0.2">
      <c r="A7" s="18"/>
      <c r="B7" s="27" t="s">
        <v>51</v>
      </c>
      <c r="C7" s="21"/>
      <c r="D7" s="19" t="s">
        <v>36</v>
      </c>
      <c r="E7" s="31" t="s">
        <v>38</v>
      </c>
      <c r="F7" s="21"/>
      <c r="G7" s="20"/>
      <c r="H7" s="41" t="str">
        <f t="shared" si="0"/>
        <v>adjustSingle 42 inch</v>
      </c>
      <c r="I7" s="42"/>
      <c r="J7" s="42"/>
      <c r="K7" s="43"/>
      <c r="L7" s="20"/>
      <c r="M7" s="21"/>
    </row>
    <row r="8" spans="1:13" x14ac:dyDescent="0.2">
      <c r="A8" s="18"/>
      <c r="B8" s="27" t="s">
        <v>51</v>
      </c>
      <c r="C8" s="21"/>
      <c r="D8" s="19" t="s">
        <v>36</v>
      </c>
      <c r="E8" s="31" t="s">
        <v>12</v>
      </c>
      <c r="F8" s="21"/>
      <c r="G8" s="20"/>
      <c r="H8" s="41" t="str">
        <f t="shared" si="0"/>
        <v>adjust626.41m</v>
      </c>
      <c r="I8" s="42"/>
      <c r="J8" s="42"/>
      <c r="K8" s="43"/>
      <c r="L8" s="20"/>
      <c r="M8" s="21"/>
    </row>
    <row r="9" spans="1:13" x14ac:dyDescent="0.2">
      <c r="A9" s="18"/>
      <c r="B9" s="27" t="s">
        <v>51</v>
      </c>
      <c r="C9" s="21"/>
      <c r="D9" s="19" t="s">
        <v>36</v>
      </c>
      <c r="E9" s="31" t="s">
        <v>13</v>
      </c>
      <c r="F9" s="21"/>
      <c r="G9" s="20"/>
      <c r="H9" s="41" t="str">
        <f t="shared" si="0"/>
        <v>adjustR</v>
      </c>
      <c r="I9" s="42"/>
      <c r="J9" s="42"/>
      <c r="K9" s="43"/>
      <c r="L9" s="20"/>
      <c r="M9" s="21"/>
    </row>
    <row r="10" spans="1:13" x14ac:dyDescent="0.2">
      <c r="A10" s="18"/>
      <c r="B10" s="27" t="s">
        <v>51</v>
      </c>
      <c r="C10" s="21"/>
      <c r="D10" s="19" t="s">
        <v>36</v>
      </c>
      <c r="E10" s="32">
        <v>8.0000000000000002E-3</v>
      </c>
      <c r="F10" s="21"/>
      <c r="G10" s="20"/>
      <c r="H10" s="41" t="str">
        <f t="shared" si="0"/>
        <v>adjust0.008</v>
      </c>
      <c r="I10" s="42"/>
      <c r="J10" s="42"/>
      <c r="K10" s="43"/>
      <c r="L10" s="20"/>
      <c r="M10" s="21"/>
    </row>
    <row r="11" spans="1:13" x14ac:dyDescent="0.2">
      <c r="A11" s="18"/>
      <c r="B11" s="27" t="s">
        <v>51</v>
      </c>
      <c r="C11" s="21"/>
      <c r="D11" s="19" t="s">
        <v>36</v>
      </c>
      <c r="E11" s="31" t="s">
        <v>14</v>
      </c>
      <c r="F11" s="21"/>
      <c r="G11" s="20"/>
      <c r="H11" s="41" t="str">
        <f t="shared" si="0"/>
        <v>adjust14m</v>
      </c>
      <c r="I11" s="42"/>
      <c r="J11" s="42"/>
      <c r="K11" s="43"/>
      <c r="L11" s="20"/>
      <c r="M11" s="21"/>
    </row>
    <row r="12" spans="1:13" x14ac:dyDescent="0.2">
      <c r="A12" s="18"/>
      <c r="B12" s="27" t="s">
        <v>51</v>
      </c>
      <c r="C12" s="21"/>
      <c r="D12" s="19" t="s">
        <v>36</v>
      </c>
      <c r="E12" s="31" t="s">
        <v>15</v>
      </c>
      <c r="F12" s="21"/>
      <c r="G12" s="20"/>
      <c r="H12" s="41" t="str">
        <f t="shared" si="0"/>
        <v>adjustType C End Wall</v>
      </c>
      <c r="I12" s="42"/>
      <c r="J12" s="42"/>
      <c r="K12" s="43"/>
      <c r="L12" s="20"/>
      <c r="M12" s="21"/>
    </row>
    <row r="13" spans="1:13" x14ac:dyDescent="0.2">
      <c r="A13" s="18"/>
      <c r="B13" s="27" t="s">
        <v>51</v>
      </c>
      <c r="C13" s="21"/>
      <c r="D13" s="19" t="s">
        <v>36</v>
      </c>
      <c r="E13" s="31" t="s">
        <v>15</v>
      </c>
      <c r="F13" s="21"/>
      <c r="G13" s="20"/>
      <c r="H13" s="41" t="str">
        <f t="shared" si="0"/>
        <v>adjustType C End Wall</v>
      </c>
      <c r="I13" s="42"/>
      <c r="J13" s="42"/>
      <c r="K13" s="43"/>
      <c r="L13" s="20"/>
      <c r="M13" s="21"/>
    </row>
    <row r="14" spans="1:13" x14ac:dyDescent="0.2">
      <c r="A14" s="18"/>
      <c r="B14" s="28" t="s">
        <v>51</v>
      </c>
      <c r="C14" s="29"/>
      <c r="D14" s="19" t="s">
        <v>36</v>
      </c>
      <c r="E14" s="33" t="s">
        <v>16</v>
      </c>
      <c r="F14" s="29"/>
      <c r="G14" s="20"/>
      <c r="H14" s="44" t="str">
        <f t="shared" si="0"/>
        <v>adjust0 Degree</v>
      </c>
      <c r="I14" s="45"/>
      <c r="J14" s="45"/>
      <c r="K14" s="46"/>
      <c r="L14" s="20"/>
      <c r="M14" s="21"/>
    </row>
    <row r="15" spans="1:13" x14ac:dyDescent="0.2">
      <c r="A15" s="18"/>
      <c r="B15" s="22"/>
      <c r="C15" s="19"/>
      <c r="D15" s="20"/>
      <c r="E15" s="19"/>
      <c r="F15" s="20"/>
      <c r="G15" s="20"/>
      <c r="H15" s="20"/>
      <c r="I15" s="20"/>
      <c r="J15" s="20"/>
      <c r="K15" s="20"/>
      <c r="L15" s="20"/>
      <c r="M15" s="21"/>
    </row>
    <row r="16" spans="1:13" x14ac:dyDescent="0.2">
      <c r="A16" s="18"/>
      <c r="B16" s="19" t="s">
        <v>17</v>
      </c>
      <c r="C16" s="19"/>
      <c r="D16" s="20"/>
      <c r="E16" s="19"/>
      <c r="F16" s="20"/>
      <c r="G16" s="20"/>
      <c r="H16" s="20"/>
      <c r="I16" s="20"/>
      <c r="J16" s="20"/>
      <c r="K16" s="20"/>
      <c r="L16" s="20"/>
      <c r="M16" s="21"/>
    </row>
    <row r="17" spans="1:13" x14ac:dyDescent="0.2">
      <c r="A17" s="18"/>
      <c r="B17" s="22"/>
      <c r="C17" s="19"/>
      <c r="D17" s="22"/>
      <c r="E17" s="22"/>
      <c r="F17" s="22"/>
      <c r="G17" s="20"/>
      <c r="H17" s="20"/>
      <c r="I17" s="20"/>
      <c r="J17" s="20"/>
      <c r="K17" s="20"/>
      <c r="L17" s="20"/>
      <c r="M17" s="21"/>
    </row>
    <row r="18" spans="1:13" x14ac:dyDescent="0.2">
      <c r="A18" s="18"/>
      <c r="B18" s="34" t="s">
        <v>18</v>
      </c>
      <c r="C18" s="35"/>
      <c r="D18" s="36"/>
      <c r="E18" s="20"/>
      <c r="F18" s="25" t="s">
        <v>19</v>
      </c>
      <c r="G18" s="26"/>
      <c r="H18" s="20"/>
      <c r="I18" s="20"/>
      <c r="J18" s="20"/>
      <c r="K18" s="20"/>
      <c r="L18" s="20"/>
      <c r="M18" s="21"/>
    </row>
    <row r="19" spans="1:13" x14ac:dyDescent="0.2">
      <c r="A19" s="18"/>
      <c r="B19" s="27" t="s">
        <v>52</v>
      </c>
      <c r="C19" s="19"/>
      <c r="D19" s="21"/>
      <c r="E19" s="19" t="s">
        <v>36</v>
      </c>
      <c r="F19" s="31" t="s">
        <v>20</v>
      </c>
      <c r="G19" s="21"/>
      <c r="H19" s="20"/>
      <c r="I19" s="38" t="str">
        <f t="shared" ref="I19:I24" si="1">CONCATENATE(B19,F19)</f>
        <v>adjuste722.42 m3</v>
      </c>
      <c r="J19" s="39"/>
      <c r="K19" s="39"/>
      <c r="L19" s="39"/>
      <c r="M19" s="40"/>
    </row>
    <row r="20" spans="1:13" x14ac:dyDescent="0.2">
      <c r="A20" s="18"/>
      <c r="B20" s="27" t="s">
        <v>52</v>
      </c>
      <c r="C20" s="19"/>
      <c r="D20" s="21"/>
      <c r="E20" s="19" t="s">
        <v>36</v>
      </c>
      <c r="F20" s="31" t="s">
        <v>21</v>
      </c>
      <c r="G20" s="21"/>
      <c r="H20" s="20"/>
      <c r="I20" s="41" t="str">
        <f t="shared" si="1"/>
        <v>adjuste1.81 m3</v>
      </c>
      <c r="J20" s="42"/>
      <c r="K20" s="42"/>
      <c r="L20" s="42"/>
      <c r="M20" s="43"/>
    </row>
    <row r="21" spans="1:13" x14ac:dyDescent="0.2">
      <c r="A21" s="18"/>
      <c r="B21" s="27" t="s">
        <v>52</v>
      </c>
      <c r="C21" s="19"/>
      <c r="D21" s="21"/>
      <c r="E21" s="19" t="s">
        <v>36</v>
      </c>
      <c r="F21" s="31" t="s">
        <v>22</v>
      </c>
      <c r="G21" s="21"/>
      <c r="H21" s="20"/>
      <c r="I21" s="41" t="str">
        <f t="shared" si="1"/>
        <v>adjuste124.74 m3</v>
      </c>
      <c r="J21" s="42"/>
      <c r="K21" s="42"/>
      <c r="L21" s="42"/>
      <c r="M21" s="43"/>
    </row>
    <row r="22" spans="1:13" x14ac:dyDescent="0.2">
      <c r="A22" s="18"/>
      <c r="B22" s="27" t="s">
        <v>52</v>
      </c>
      <c r="C22" s="19"/>
      <c r="D22" s="21"/>
      <c r="E22" s="19" t="s">
        <v>36</v>
      </c>
      <c r="F22" s="31" t="s">
        <v>23</v>
      </c>
      <c r="G22" s="21"/>
      <c r="H22" s="20"/>
      <c r="I22" s="41" t="str">
        <f t="shared" si="1"/>
        <v>adjuste272.01 m3</v>
      </c>
      <c r="J22" s="42"/>
      <c r="K22" s="42"/>
      <c r="L22" s="42"/>
      <c r="M22" s="43"/>
    </row>
    <row r="23" spans="1:13" x14ac:dyDescent="0.2">
      <c r="A23" s="18"/>
      <c r="B23" s="27" t="s">
        <v>52</v>
      </c>
      <c r="C23" s="19"/>
      <c r="D23" s="21"/>
      <c r="E23" s="19" t="s">
        <v>36</v>
      </c>
      <c r="F23" s="31" t="s">
        <v>24</v>
      </c>
      <c r="G23" s="21"/>
      <c r="H23" s="20"/>
      <c r="I23" s="41" t="str">
        <f t="shared" si="1"/>
        <v>adjuste78.2 m2</v>
      </c>
      <c r="J23" s="42"/>
      <c r="K23" s="42"/>
      <c r="L23" s="42"/>
      <c r="M23" s="43"/>
    </row>
    <row r="24" spans="1:13" x14ac:dyDescent="0.2">
      <c r="A24" s="18"/>
      <c r="B24" s="28" t="s">
        <v>52</v>
      </c>
      <c r="C24" s="37"/>
      <c r="D24" s="29"/>
      <c r="E24" s="19" t="s">
        <v>36</v>
      </c>
      <c r="F24" s="33" t="s">
        <v>25</v>
      </c>
      <c r="G24" s="29"/>
      <c r="H24" s="20"/>
      <c r="I24" s="44" t="str">
        <f t="shared" si="1"/>
        <v>adjuste8.23 m3</v>
      </c>
      <c r="J24" s="45"/>
      <c r="K24" s="45"/>
      <c r="L24" s="45"/>
      <c r="M24" s="46"/>
    </row>
    <row r="25" spans="1:13" x14ac:dyDescent="0.2">
      <c r="A25" s="18"/>
      <c r="B25" s="22"/>
      <c r="C25" s="19"/>
      <c r="D25" s="20"/>
      <c r="E25" s="19"/>
      <c r="F25" s="20"/>
      <c r="G25" s="20"/>
      <c r="H25" s="20"/>
      <c r="I25" s="20"/>
      <c r="J25" s="20"/>
      <c r="K25" s="20"/>
      <c r="L25" s="20"/>
      <c r="M25" s="21"/>
    </row>
    <row r="26" spans="1:13" x14ac:dyDescent="0.2">
      <c r="A26" s="18"/>
      <c r="B26" s="22"/>
      <c r="C26" s="19"/>
      <c r="D26" s="20"/>
      <c r="E26" s="19"/>
      <c r="F26" s="20"/>
      <c r="G26" s="20"/>
      <c r="H26" s="20"/>
      <c r="I26" s="20"/>
      <c r="J26" s="20"/>
      <c r="K26" s="20"/>
      <c r="L26" s="20"/>
      <c r="M26" s="21"/>
    </row>
    <row r="27" spans="1:13" x14ac:dyDescent="0.2">
      <c r="A27" s="18"/>
      <c r="B27" s="22"/>
      <c r="C27" s="19"/>
      <c r="D27" s="20"/>
      <c r="E27" s="19"/>
      <c r="F27" s="20"/>
      <c r="G27" s="20"/>
      <c r="H27" s="20"/>
      <c r="I27" s="20"/>
      <c r="J27" s="20"/>
      <c r="K27" s="20"/>
      <c r="L27" s="20"/>
      <c r="M27" s="21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7"/>
  <sheetViews>
    <sheetView zoomScaleNormal="100" workbookViewId="0">
      <selection activeCell="B5" sqref="B5"/>
    </sheetView>
  </sheetViews>
  <sheetFormatPr defaultRowHeight="12.75" x14ac:dyDescent="0.2"/>
  <cols>
    <col min="4" max="4" width="10.5703125" customWidth="1"/>
  </cols>
  <sheetData>
    <row r="1" spans="1:13" x14ac:dyDescent="0.2">
      <c r="A1" s="18" t="s">
        <v>37</v>
      </c>
      <c r="B1" s="19"/>
      <c r="C1" s="19"/>
      <c r="D1" s="20"/>
      <c r="E1" s="19"/>
      <c r="F1" s="20"/>
      <c r="G1" s="20"/>
      <c r="H1" s="20"/>
      <c r="I1" s="20"/>
      <c r="J1" s="20"/>
      <c r="K1" s="20"/>
      <c r="L1" s="20"/>
      <c r="M1" s="21"/>
    </row>
    <row r="2" spans="1:13" x14ac:dyDescent="0.2">
      <c r="A2" s="18"/>
      <c r="B2" s="22"/>
      <c r="C2" s="19"/>
      <c r="D2" s="20"/>
      <c r="E2" s="19"/>
      <c r="F2" s="20"/>
      <c r="G2" s="20"/>
      <c r="H2" s="20"/>
      <c r="I2" s="20"/>
      <c r="J2" s="20"/>
      <c r="K2" s="20"/>
      <c r="L2" s="20"/>
      <c r="M2" s="21"/>
    </row>
    <row r="3" spans="1:13" x14ac:dyDescent="0.2">
      <c r="A3" s="18"/>
      <c r="B3" s="22"/>
      <c r="C3" s="19"/>
      <c r="D3" s="20"/>
      <c r="E3" s="19"/>
      <c r="F3" s="20"/>
      <c r="G3" s="20"/>
      <c r="H3" s="20"/>
      <c r="I3" s="20"/>
      <c r="J3" s="20"/>
      <c r="K3" s="20"/>
      <c r="L3" s="20"/>
      <c r="M3" s="21"/>
    </row>
    <row r="4" spans="1:13" ht="15" x14ac:dyDescent="0.25">
      <c r="A4" s="18"/>
      <c r="B4" s="23"/>
      <c r="C4" s="23"/>
      <c r="D4" s="23" t="s">
        <v>47</v>
      </c>
      <c r="E4" s="23"/>
      <c r="F4" s="23"/>
      <c r="G4" s="23"/>
      <c r="H4" s="23"/>
      <c r="I4" s="23"/>
      <c r="J4" s="23"/>
      <c r="K4" s="23"/>
      <c r="L4" s="23"/>
      <c r="M4" s="24"/>
    </row>
    <row r="5" spans="1:13" x14ac:dyDescent="0.2">
      <c r="A5" s="18"/>
      <c r="B5" s="25" t="s">
        <v>52</v>
      </c>
      <c r="C5" s="26"/>
      <c r="D5" s="19" t="s">
        <v>36</v>
      </c>
      <c r="E5" s="30" t="s">
        <v>10</v>
      </c>
      <c r="F5" s="26"/>
      <c r="G5" s="20"/>
      <c r="H5" s="38" t="str">
        <f>CONCATENATE(B5,E5)</f>
        <v>adjuste115+293</v>
      </c>
      <c r="I5" s="39"/>
      <c r="J5" s="39"/>
      <c r="K5" s="40"/>
      <c r="L5" s="20"/>
      <c r="M5" s="21"/>
    </row>
    <row r="6" spans="1:13" x14ac:dyDescent="0.2">
      <c r="A6" s="18"/>
      <c r="B6" s="27" t="s">
        <v>52</v>
      </c>
      <c r="C6" s="21"/>
      <c r="D6" s="19" t="s">
        <v>36</v>
      </c>
      <c r="E6" s="31" t="s">
        <v>11</v>
      </c>
      <c r="F6" s="21"/>
      <c r="G6" s="20"/>
      <c r="H6" s="41" t="str">
        <f t="shared" ref="H6:H14" si="0">CONCATENATE(B6,E6)</f>
        <v>adjusteReplaced RCP</v>
      </c>
      <c r="I6" s="42"/>
      <c r="J6" s="42"/>
      <c r="K6" s="43"/>
      <c r="L6" s="20"/>
      <c r="M6" s="21"/>
    </row>
    <row r="7" spans="1:13" x14ac:dyDescent="0.2">
      <c r="A7" s="18"/>
      <c r="B7" s="27" t="s">
        <v>52</v>
      </c>
      <c r="C7" s="21"/>
      <c r="D7" s="19" t="s">
        <v>36</v>
      </c>
      <c r="E7" s="31" t="s">
        <v>38</v>
      </c>
      <c r="F7" s="21"/>
      <c r="G7" s="20"/>
      <c r="H7" s="41" t="str">
        <f t="shared" si="0"/>
        <v>adjusteSingle 42 inch</v>
      </c>
      <c r="I7" s="42"/>
      <c r="J7" s="42"/>
      <c r="K7" s="43"/>
      <c r="L7" s="20"/>
      <c r="M7" s="21"/>
    </row>
    <row r="8" spans="1:13" x14ac:dyDescent="0.2">
      <c r="A8" s="18"/>
      <c r="B8" s="27" t="s">
        <v>52</v>
      </c>
      <c r="C8" s="21"/>
      <c r="D8" s="19" t="s">
        <v>36</v>
      </c>
      <c r="E8" s="31" t="s">
        <v>12</v>
      </c>
      <c r="F8" s="21"/>
      <c r="G8" s="20"/>
      <c r="H8" s="41" t="str">
        <f t="shared" si="0"/>
        <v>adjuste626.41m</v>
      </c>
      <c r="I8" s="42"/>
      <c r="J8" s="42"/>
      <c r="K8" s="43"/>
      <c r="L8" s="20"/>
      <c r="M8" s="21"/>
    </row>
    <row r="9" spans="1:13" x14ac:dyDescent="0.2">
      <c r="A9" s="18"/>
      <c r="B9" s="27" t="s">
        <v>52</v>
      </c>
      <c r="C9" s="21"/>
      <c r="D9" s="19" t="s">
        <v>36</v>
      </c>
      <c r="E9" s="31" t="s">
        <v>13</v>
      </c>
      <c r="F9" s="21"/>
      <c r="G9" s="20"/>
      <c r="H9" s="41" t="str">
        <f t="shared" si="0"/>
        <v>adjusteR</v>
      </c>
      <c r="I9" s="42"/>
      <c r="J9" s="42"/>
      <c r="K9" s="43"/>
      <c r="L9" s="20"/>
      <c r="M9" s="21"/>
    </row>
    <row r="10" spans="1:13" x14ac:dyDescent="0.2">
      <c r="A10" s="18"/>
      <c r="B10" s="27" t="s">
        <v>52</v>
      </c>
      <c r="C10" s="21"/>
      <c r="D10" s="19" t="s">
        <v>36</v>
      </c>
      <c r="E10" s="32">
        <v>8.0000000000000002E-3</v>
      </c>
      <c r="F10" s="21"/>
      <c r="G10" s="20"/>
      <c r="H10" s="41" t="str">
        <f t="shared" si="0"/>
        <v>adjuste0.008</v>
      </c>
      <c r="I10" s="42"/>
      <c r="J10" s="42"/>
      <c r="K10" s="43"/>
      <c r="L10" s="20"/>
      <c r="M10" s="21"/>
    </row>
    <row r="11" spans="1:13" x14ac:dyDescent="0.2">
      <c r="A11" s="18"/>
      <c r="B11" s="27" t="s">
        <v>52</v>
      </c>
      <c r="C11" s="21"/>
      <c r="D11" s="19" t="s">
        <v>36</v>
      </c>
      <c r="E11" s="31" t="s">
        <v>14</v>
      </c>
      <c r="F11" s="21"/>
      <c r="G11" s="20"/>
      <c r="H11" s="41" t="str">
        <f t="shared" si="0"/>
        <v>adjuste14m</v>
      </c>
      <c r="I11" s="42"/>
      <c r="J11" s="42"/>
      <c r="K11" s="43"/>
      <c r="L11" s="20"/>
      <c r="M11" s="21"/>
    </row>
    <row r="12" spans="1:13" x14ac:dyDescent="0.2">
      <c r="A12" s="18"/>
      <c r="B12" s="27" t="s">
        <v>52</v>
      </c>
      <c r="C12" s="21"/>
      <c r="D12" s="19" t="s">
        <v>36</v>
      </c>
      <c r="E12" s="31" t="s">
        <v>15</v>
      </c>
      <c r="F12" s="21"/>
      <c r="G12" s="20"/>
      <c r="H12" s="41" t="str">
        <f t="shared" si="0"/>
        <v>adjusteType C End Wall</v>
      </c>
      <c r="I12" s="42"/>
      <c r="J12" s="42"/>
      <c r="K12" s="43"/>
      <c r="L12" s="20"/>
      <c r="M12" s="21"/>
    </row>
    <row r="13" spans="1:13" x14ac:dyDescent="0.2">
      <c r="A13" s="18"/>
      <c r="B13" s="27" t="s">
        <v>52</v>
      </c>
      <c r="C13" s="21"/>
      <c r="D13" s="19" t="s">
        <v>36</v>
      </c>
      <c r="E13" s="31" t="s">
        <v>15</v>
      </c>
      <c r="F13" s="21"/>
      <c r="G13" s="20"/>
      <c r="H13" s="41" t="str">
        <f t="shared" si="0"/>
        <v>adjusteType C End Wall</v>
      </c>
      <c r="I13" s="42"/>
      <c r="J13" s="42"/>
      <c r="K13" s="43"/>
      <c r="L13" s="20"/>
      <c r="M13" s="21"/>
    </row>
    <row r="14" spans="1:13" x14ac:dyDescent="0.2">
      <c r="A14" s="18"/>
      <c r="B14" s="28" t="s">
        <v>52</v>
      </c>
      <c r="C14" s="29"/>
      <c r="D14" s="19" t="s">
        <v>36</v>
      </c>
      <c r="E14" s="33" t="s">
        <v>16</v>
      </c>
      <c r="F14" s="29"/>
      <c r="G14" s="20"/>
      <c r="H14" s="44" t="str">
        <f t="shared" si="0"/>
        <v>adjuste0 Degree</v>
      </c>
      <c r="I14" s="45"/>
      <c r="J14" s="45"/>
      <c r="K14" s="46"/>
      <c r="L14" s="20"/>
      <c r="M14" s="21"/>
    </row>
    <row r="15" spans="1:13" x14ac:dyDescent="0.2">
      <c r="A15" s="18"/>
      <c r="B15" s="22"/>
      <c r="C15" s="19"/>
      <c r="D15" s="20"/>
      <c r="E15" s="19"/>
      <c r="F15" s="20"/>
      <c r="G15" s="20"/>
      <c r="H15" s="20"/>
      <c r="I15" s="20"/>
      <c r="J15" s="20"/>
      <c r="K15" s="20"/>
      <c r="L15" s="20"/>
      <c r="M15" s="21"/>
    </row>
    <row r="16" spans="1:13" x14ac:dyDescent="0.2">
      <c r="A16" s="18"/>
      <c r="B16" s="19" t="s">
        <v>17</v>
      </c>
      <c r="C16" s="19"/>
      <c r="D16" s="20"/>
      <c r="E16" s="19"/>
      <c r="F16" s="20"/>
      <c r="G16" s="20"/>
      <c r="H16" s="20"/>
      <c r="I16" s="20"/>
      <c r="J16" s="20"/>
      <c r="K16" s="20"/>
      <c r="L16" s="20"/>
      <c r="M16" s="21"/>
    </row>
    <row r="17" spans="1:13" x14ac:dyDescent="0.2">
      <c r="A17" s="18"/>
      <c r="B17" s="22"/>
      <c r="C17" s="19"/>
      <c r="D17" s="22"/>
      <c r="E17" s="22"/>
      <c r="F17" s="22"/>
      <c r="G17" s="20"/>
      <c r="H17" s="20"/>
      <c r="I17" s="20"/>
      <c r="J17" s="20"/>
      <c r="K17" s="20"/>
      <c r="L17" s="20"/>
      <c r="M17" s="21"/>
    </row>
    <row r="18" spans="1:13" x14ac:dyDescent="0.2">
      <c r="A18" s="18"/>
      <c r="B18" s="34" t="s">
        <v>18</v>
      </c>
      <c r="C18" s="35"/>
      <c r="D18" s="36"/>
      <c r="E18" s="20"/>
      <c r="F18" s="25" t="s">
        <v>19</v>
      </c>
      <c r="G18" s="26"/>
      <c r="H18" s="20"/>
      <c r="I18" s="20"/>
      <c r="J18" s="20"/>
      <c r="K18" s="20"/>
      <c r="L18" s="20"/>
      <c r="M18" s="21"/>
    </row>
    <row r="19" spans="1:13" x14ac:dyDescent="0.2">
      <c r="A19" s="18"/>
      <c r="B19" s="27" t="s">
        <v>39</v>
      </c>
      <c r="C19" s="19"/>
      <c r="D19" s="21"/>
      <c r="E19" s="19" t="s">
        <v>36</v>
      </c>
      <c r="F19" s="31" t="s">
        <v>20</v>
      </c>
      <c r="G19" s="21"/>
      <c r="H19" s="20"/>
      <c r="I19" s="38" t="str">
        <f t="shared" ref="I19:I24" si="1">CONCATENATE(B19,F19)</f>
        <v>Structural Excavation: 722.42 m3</v>
      </c>
      <c r="J19" s="39"/>
      <c r="K19" s="39"/>
      <c r="L19" s="39"/>
      <c r="M19" s="40"/>
    </row>
    <row r="20" spans="1:13" x14ac:dyDescent="0.2">
      <c r="A20" s="18"/>
      <c r="B20" s="27" t="s">
        <v>40</v>
      </c>
      <c r="C20" s="19"/>
      <c r="D20" s="21"/>
      <c r="E20" s="19" t="s">
        <v>36</v>
      </c>
      <c r="F20" s="31" t="s">
        <v>21</v>
      </c>
      <c r="G20" s="21"/>
      <c r="H20" s="20"/>
      <c r="I20" s="41" t="str">
        <f t="shared" si="1"/>
        <v>Channel Excavation: 1.81 m3</v>
      </c>
      <c r="J20" s="42"/>
      <c r="K20" s="42"/>
      <c r="L20" s="42"/>
      <c r="M20" s="43"/>
    </row>
    <row r="21" spans="1:13" x14ac:dyDescent="0.2">
      <c r="A21" s="18"/>
      <c r="B21" s="27" t="s">
        <v>41</v>
      </c>
      <c r="C21" s="19"/>
      <c r="D21" s="21"/>
      <c r="E21" s="19" t="s">
        <v>36</v>
      </c>
      <c r="F21" s="31" t="s">
        <v>22</v>
      </c>
      <c r="G21" s="21"/>
      <c r="H21" s="20"/>
      <c r="I21" s="41" t="str">
        <f t="shared" si="1"/>
        <v>Backfill: 124.74 m3</v>
      </c>
      <c r="J21" s="42"/>
      <c r="K21" s="42"/>
      <c r="L21" s="42"/>
      <c r="M21" s="43"/>
    </row>
    <row r="22" spans="1:13" x14ac:dyDescent="0.2">
      <c r="A22" s="18"/>
      <c r="B22" s="27" t="s">
        <v>42</v>
      </c>
      <c r="C22" s="19"/>
      <c r="D22" s="21"/>
      <c r="E22" s="19" t="s">
        <v>36</v>
      </c>
      <c r="F22" s="31" t="s">
        <v>23</v>
      </c>
      <c r="G22" s="21"/>
      <c r="H22" s="20"/>
      <c r="I22" s="41" t="str">
        <f t="shared" si="1"/>
        <v>Cement Mortared Stone Masonry: 272.01 m3</v>
      </c>
      <c r="J22" s="42"/>
      <c r="K22" s="42"/>
      <c r="L22" s="42"/>
      <c r="M22" s="43"/>
    </row>
    <row r="23" spans="1:13" x14ac:dyDescent="0.2">
      <c r="A23" s="18"/>
      <c r="B23" s="27" t="s">
        <v>43</v>
      </c>
      <c r="C23" s="19"/>
      <c r="D23" s="21"/>
      <c r="E23" s="19" t="s">
        <v>36</v>
      </c>
      <c r="F23" s="31" t="s">
        <v>24</v>
      </c>
      <c r="G23" s="21"/>
      <c r="H23" s="20"/>
      <c r="I23" s="41" t="str">
        <f t="shared" si="1"/>
        <v>Grouted Stone Pitch: 78.2 m2</v>
      </c>
      <c r="J23" s="42"/>
      <c r="K23" s="42"/>
      <c r="L23" s="42"/>
      <c r="M23" s="43"/>
    </row>
    <row r="24" spans="1:13" x14ac:dyDescent="0.2">
      <c r="A24" s="18"/>
      <c r="B24" s="28" t="s">
        <v>44</v>
      </c>
      <c r="C24" s="37"/>
      <c r="D24" s="29"/>
      <c r="E24" s="19" t="s">
        <v>36</v>
      </c>
      <c r="F24" s="33" t="s">
        <v>25</v>
      </c>
      <c r="G24" s="29"/>
      <c r="H24" s="20"/>
      <c r="I24" s="44" t="str">
        <f t="shared" si="1"/>
        <v>Class 'B' Bedding: 8.23 m3</v>
      </c>
      <c r="J24" s="45"/>
      <c r="K24" s="45"/>
      <c r="L24" s="45"/>
      <c r="M24" s="46"/>
    </row>
    <row r="25" spans="1:13" x14ac:dyDescent="0.2">
      <c r="A25" s="18"/>
      <c r="B25" s="22"/>
      <c r="C25" s="19"/>
      <c r="D25" s="20"/>
      <c r="E25" s="19"/>
      <c r="F25" s="20"/>
      <c r="G25" s="20"/>
      <c r="H25" s="20"/>
      <c r="I25" s="20"/>
      <c r="J25" s="20"/>
      <c r="K25" s="20"/>
      <c r="L25" s="20"/>
      <c r="M25" s="21"/>
    </row>
    <row r="26" spans="1:13" x14ac:dyDescent="0.2">
      <c r="A26" s="18"/>
      <c r="B26" s="22"/>
      <c r="C26" s="19"/>
      <c r="D26" s="20"/>
      <c r="E26" s="19"/>
      <c r="F26" s="20"/>
      <c r="G26" s="20"/>
      <c r="H26" s="20"/>
      <c r="I26" s="20"/>
      <c r="J26" s="20"/>
      <c r="K26" s="20"/>
      <c r="L26" s="20"/>
      <c r="M26" s="21"/>
    </row>
    <row r="27" spans="1:13" x14ac:dyDescent="0.2">
      <c r="A27" s="18"/>
      <c r="B27" s="22"/>
      <c r="C27" s="19"/>
      <c r="D27" s="20"/>
      <c r="E27" s="19"/>
      <c r="F27" s="20"/>
      <c r="G27" s="20"/>
      <c r="H27" s="20"/>
      <c r="I27" s="20"/>
      <c r="J27" s="20"/>
      <c r="K27" s="20"/>
      <c r="L27" s="20"/>
      <c r="M27" s="21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7"/>
  <sheetViews>
    <sheetView zoomScaleNormal="100" workbookViewId="0">
      <selection activeCell="B5" sqref="B5"/>
    </sheetView>
  </sheetViews>
  <sheetFormatPr defaultRowHeight="12.75" x14ac:dyDescent="0.2"/>
  <cols>
    <col min="4" max="4" width="10.5703125" customWidth="1"/>
  </cols>
  <sheetData>
    <row r="1" spans="1:13" x14ac:dyDescent="0.2">
      <c r="A1" s="18" t="s">
        <v>37</v>
      </c>
      <c r="B1" s="19"/>
      <c r="C1" s="19"/>
      <c r="D1" s="20"/>
      <c r="E1" s="19"/>
      <c r="F1" s="20"/>
      <c r="G1" s="20"/>
      <c r="H1" s="20"/>
      <c r="I1" s="20"/>
      <c r="J1" s="20"/>
      <c r="K1" s="20"/>
      <c r="L1" s="20"/>
      <c r="M1" s="21"/>
    </row>
    <row r="2" spans="1:13" x14ac:dyDescent="0.2">
      <c r="A2" s="18"/>
      <c r="B2" s="22"/>
      <c r="C2" s="19"/>
      <c r="D2" s="20"/>
      <c r="E2" s="19"/>
      <c r="F2" s="20"/>
      <c r="G2" s="20"/>
      <c r="H2" s="20"/>
      <c r="I2" s="20"/>
      <c r="J2" s="20"/>
      <c r="K2" s="20"/>
      <c r="L2" s="20"/>
      <c r="M2" s="21"/>
    </row>
    <row r="3" spans="1:13" x14ac:dyDescent="0.2">
      <c r="A3" s="18"/>
      <c r="B3" s="22"/>
      <c r="C3" s="19"/>
      <c r="D3" s="20"/>
      <c r="E3" s="19"/>
      <c r="F3" s="20"/>
      <c r="G3" s="20"/>
      <c r="H3" s="20"/>
      <c r="I3" s="20"/>
      <c r="J3" s="20"/>
      <c r="K3" s="20"/>
      <c r="L3" s="20"/>
      <c r="M3" s="21"/>
    </row>
    <row r="4" spans="1:13" ht="15" x14ac:dyDescent="0.25">
      <c r="A4" s="18"/>
      <c r="B4" s="23"/>
      <c r="C4" s="23"/>
      <c r="D4" s="23" t="s">
        <v>48</v>
      </c>
      <c r="E4" s="23"/>
      <c r="F4" s="23"/>
      <c r="G4" s="23"/>
      <c r="H4" s="23"/>
      <c r="I4" s="23"/>
      <c r="J4" s="23"/>
      <c r="K4" s="23"/>
      <c r="L4" s="23"/>
      <c r="M4" s="24"/>
    </row>
    <row r="5" spans="1:13" x14ac:dyDescent="0.2">
      <c r="A5" s="18"/>
      <c r="B5" s="25" t="s">
        <v>52</v>
      </c>
      <c r="C5" s="26"/>
      <c r="D5" s="19" t="s">
        <v>36</v>
      </c>
      <c r="E5" s="30" t="s">
        <v>10</v>
      </c>
      <c r="F5" s="26"/>
      <c r="G5" s="20"/>
      <c r="H5" s="38" t="str">
        <f>CONCATENATE(B5,E5)</f>
        <v>adjuste115+293</v>
      </c>
      <c r="I5" s="39"/>
      <c r="J5" s="39"/>
      <c r="K5" s="40"/>
      <c r="L5" s="20"/>
      <c r="M5" s="21"/>
    </row>
    <row r="6" spans="1:13" x14ac:dyDescent="0.2">
      <c r="A6" s="18"/>
      <c r="B6" s="27" t="s">
        <v>52</v>
      </c>
      <c r="C6" s="21"/>
      <c r="D6" s="19" t="s">
        <v>36</v>
      </c>
      <c r="E6" s="31" t="s">
        <v>11</v>
      </c>
      <c r="F6" s="21"/>
      <c r="G6" s="20"/>
      <c r="H6" s="41" t="str">
        <f t="shared" ref="H6:H14" si="0">CONCATENATE(B6,E6)</f>
        <v>adjusteReplaced RCP</v>
      </c>
      <c r="I6" s="42"/>
      <c r="J6" s="42"/>
      <c r="K6" s="43"/>
      <c r="L6" s="20"/>
      <c r="M6" s="21"/>
    </row>
    <row r="7" spans="1:13" x14ac:dyDescent="0.2">
      <c r="A7" s="18"/>
      <c r="B7" s="27" t="s">
        <v>52</v>
      </c>
      <c r="C7" s="21"/>
      <c r="D7" s="19" t="s">
        <v>36</v>
      </c>
      <c r="E7" s="31" t="s">
        <v>38</v>
      </c>
      <c r="F7" s="21"/>
      <c r="G7" s="20"/>
      <c r="H7" s="41" t="str">
        <f t="shared" si="0"/>
        <v>adjusteSingle 42 inch</v>
      </c>
      <c r="I7" s="42"/>
      <c r="J7" s="42"/>
      <c r="K7" s="43"/>
      <c r="L7" s="20"/>
      <c r="M7" s="21"/>
    </row>
    <row r="8" spans="1:13" x14ac:dyDescent="0.2">
      <c r="A8" s="18"/>
      <c r="B8" s="27" t="s">
        <v>52</v>
      </c>
      <c r="C8" s="21"/>
      <c r="D8" s="19" t="s">
        <v>36</v>
      </c>
      <c r="E8" s="31" t="s">
        <v>12</v>
      </c>
      <c r="F8" s="21"/>
      <c r="G8" s="20"/>
      <c r="H8" s="41" t="str">
        <f t="shared" si="0"/>
        <v>adjuste626.41m</v>
      </c>
      <c r="I8" s="42"/>
      <c r="J8" s="42"/>
      <c r="K8" s="43"/>
      <c r="L8" s="20"/>
      <c r="M8" s="21"/>
    </row>
    <row r="9" spans="1:13" x14ac:dyDescent="0.2">
      <c r="A9" s="18"/>
      <c r="B9" s="27" t="s">
        <v>52</v>
      </c>
      <c r="C9" s="21"/>
      <c r="D9" s="19" t="s">
        <v>36</v>
      </c>
      <c r="E9" s="31" t="s">
        <v>13</v>
      </c>
      <c r="F9" s="21"/>
      <c r="G9" s="20"/>
      <c r="H9" s="41" t="str">
        <f t="shared" si="0"/>
        <v>adjusteR</v>
      </c>
      <c r="I9" s="42"/>
      <c r="J9" s="42"/>
      <c r="K9" s="43"/>
      <c r="L9" s="20"/>
      <c r="M9" s="21"/>
    </row>
    <row r="10" spans="1:13" x14ac:dyDescent="0.2">
      <c r="A10" s="18"/>
      <c r="B10" s="27" t="s">
        <v>52</v>
      </c>
      <c r="C10" s="21"/>
      <c r="D10" s="19" t="s">
        <v>36</v>
      </c>
      <c r="E10" s="32">
        <v>8.0000000000000002E-3</v>
      </c>
      <c r="F10" s="21"/>
      <c r="G10" s="20"/>
      <c r="H10" s="41" t="str">
        <f t="shared" si="0"/>
        <v>adjuste0.008</v>
      </c>
      <c r="I10" s="42"/>
      <c r="J10" s="42"/>
      <c r="K10" s="43"/>
      <c r="L10" s="20"/>
      <c r="M10" s="21"/>
    </row>
    <row r="11" spans="1:13" x14ac:dyDescent="0.2">
      <c r="A11" s="18"/>
      <c r="B11" s="27" t="s">
        <v>52</v>
      </c>
      <c r="C11" s="21"/>
      <c r="D11" s="19" t="s">
        <v>36</v>
      </c>
      <c r="E11" s="31" t="s">
        <v>14</v>
      </c>
      <c r="F11" s="21"/>
      <c r="G11" s="20"/>
      <c r="H11" s="41" t="str">
        <f t="shared" si="0"/>
        <v>adjuste14m</v>
      </c>
      <c r="I11" s="42"/>
      <c r="J11" s="42"/>
      <c r="K11" s="43"/>
      <c r="L11" s="20"/>
      <c r="M11" s="21"/>
    </row>
    <row r="12" spans="1:13" x14ac:dyDescent="0.2">
      <c r="A12" s="18"/>
      <c r="B12" s="27" t="s">
        <v>52</v>
      </c>
      <c r="C12" s="21"/>
      <c r="D12" s="19" t="s">
        <v>36</v>
      </c>
      <c r="E12" s="31" t="s">
        <v>15</v>
      </c>
      <c r="F12" s="21"/>
      <c r="G12" s="20"/>
      <c r="H12" s="41" t="str">
        <f t="shared" si="0"/>
        <v>adjusteType C End Wall</v>
      </c>
      <c r="I12" s="42"/>
      <c r="J12" s="42"/>
      <c r="K12" s="43"/>
      <c r="L12" s="20"/>
      <c r="M12" s="21"/>
    </row>
    <row r="13" spans="1:13" x14ac:dyDescent="0.2">
      <c r="A13" s="18"/>
      <c r="B13" s="27" t="s">
        <v>52</v>
      </c>
      <c r="C13" s="21"/>
      <c r="D13" s="19" t="s">
        <v>36</v>
      </c>
      <c r="E13" s="31" t="s">
        <v>15</v>
      </c>
      <c r="F13" s="21"/>
      <c r="G13" s="20"/>
      <c r="H13" s="41" t="str">
        <f t="shared" si="0"/>
        <v>adjusteType C End Wall</v>
      </c>
      <c r="I13" s="42"/>
      <c r="J13" s="42"/>
      <c r="K13" s="43"/>
      <c r="L13" s="20"/>
      <c r="M13" s="21"/>
    </row>
    <row r="14" spans="1:13" x14ac:dyDescent="0.2">
      <c r="A14" s="18"/>
      <c r="B14" s="28" t="s">
        <v>52</v>
      </c>
      <c r="C14" s="29"/>
      <c r="D14" s="19" t="s">
        <v>36</v>
      </c>
      <c r="E14" s="33" t="s">
        <v>16</v>
      </c>
      <c r="F14" s="29"/>
      <c r="G14" s="20"/>
      <c r="H14" s="44" t="str">
        <f t="shared" si="0"/>
        <v>adjuste0 Degree</v>
      </c>
      <c r="I14" s="45"/>
      <c r="J14" s="45"/>
      <c r="K14" s="46"/>
      <c r="L14" s="20"/>
      <c r="M14" s="21"/>
    </row>
    <row r="15" spans="1:13" x14ac:dyDescent="0.2">
      <c r="A15" s="18"/>
      <c r="B15" s="22"/>
      <c r="C15" s="19"/>
      <c r="D15" s="20"/>
      <c r="E15" s="19"/>
      <c r="F15" s="20"/>
      <c r="G15" s="20"/>
      <c r="H15" s="20"/>
      <c r="I15" s="20"/>
      <c r="J15" s="20"/>
      <c r="K15" s="20"/>
      <c r="L15" s="20"/>
      <c r="M15" s="21"/>
    </row>
    <row r="16" spans="1:13" x14ac:dyDescent="0.2">
      <c r="A16" s="18"/>
      <c r="B16" s="19" t="s">
        <v>17</v>
      </c>
      <c r="C16" s="19"/>
      <c r="D16" s="20"/>
      <c r="E16" s="19"/>
      <c r="F16" s="20"/>
      <c r="G16" s="20"/>
      <c r="H16" s="20"/>
      <c r="I16" s="20"/>
      <c r="J16" s="20"/>
      <c r="K16" s="20"/>
      <c r="L16" s="20"/>
      <c r="M16" s="21"/>
    </row>
    <row r="17" spans="1:13" x14ac:dyDescent="0.2">
      <c r="A17" s="18"/>
      <c r="B17" s="22"/>
      <c r="C17" s="19"/>
      <c r="D17" s="22"/>
      <c r="E17" s="22"/>
      <c r="F17" s="22"/>
      <c r="G17" s="20"/>
      <c r="H17" s="20"/>
      <c r="I17" s="20"/>
      <c r="J17" s="20"/>
      <c r="K17" s="20"/>
      <c r="L17" s="20"/>
      <c r="M17" s="21"/>
    </row>
    <row r="18" spans="1:13" x14ac:dyDescent="0.2">
      <c r="A18" s="18"/>
      <c r="B18" s="34" t="s">
        <v>18</v>
      </c>
      <c r="C18" s="35"/>
      <c r="D18" s="36"/>
      <c r="E18" s="20"/>
      <c r="F18" s="25" t="s">
        <v>19</v>
      </c>
      <c r="G18" s="26"/>
      <c r="H18" s="20"/>
      <c r="I18" s="20"/>
      <c r="J18" s="20"/>
      <c r="K18" s="20"/>
      <c r="L18" s="20"/>
      <c r="M18" s="21"/>
    </row>
    <row r="19" spans="1:13" x14ac:dyDescent="0.2">
      <c r="A19" s="18"/>
      <c r="B19" s="27" t="s">
        <v>39</v>
      </c>
      <c r="C19" s="19"/>
      <c r="D19" s="21"/>
      <c r="E19" s="19" t="s">
        <v>36</v>
      </c>
      <c r="F19" s="31" t="s">
        <v>20</v>
      </c>
      <c r="G19" s="21"/>
      <c r="H19" s="20"/>
      <c r="I19" s="38" t="str">
        <f t="shared" ref="I19:I24" si="1">CONCATENATE(B19,F19)</f>
        <v>Structural Excavation: 722.42 m3</v>
      </c>
      <c r="J19" s="39"/>
      <c r="K19" s="39"/>
      <c r="L19" s="39"/>
      <c r="M19" s="40"/>
    </row>
    <row r="20" spans="1:13" x14ac:dyDescent="0.2">
      <c r="A20" s="18"/>
      <c r="B20" s="27" t="s">
        <v>40</v>
      </c>
      <c r="C20" s="19"/>
      <c r="D20" s="21"/>
      <c r="E20" s="19" t="s">
        <v>36</v>
      </c>
      <c r="F20" s="31" t="s">
        <v>21</v>
      </c>
      <c r="G20" s="21"/>
      <c r="H20" s="20"/>
      <c r="I20" s="41" t="str">
        <f t="shared" si="1"/>
        <v>Channel Excavation: 1.81 m3</v>
      </c>
      <c r="J20" s="42"/>
      <c r="K20" s="42"/>
      <c r="L20" s="42"/>
      <c r="M20" s="43"/>
    </row>
    <row r="21" spans="1:13" x14ac:dyDescent="0.2">
      <c r="A21" s="18"/>
      <c r="B21" s="27" t="s">
        <v>41</v>
      </c>
      <c r="C21" s="19"/>
      <c r="D21" s="21"/>
      <c r="E21" s="19" t="s">
        <v>36</v>
      </c>
      <c r="F21" s="31" t="s">
        <v>22</v>
      </c>
      <c r="G21" s="21"/>
      <c r="H21" s="20"/>
      <c r="I21" s="41" t="str">
        <f t="shared" si="1"/>
        <v>Backfill: 124.74 m3</v>
      </c>
      <c r="J21" s="42"/>
      <c r="K21" s="42"/>
      <c r="L21" s="42"/>
      <c r="M21" s="43"/>
    </row>
    <row r="22" spans="1:13" x14ac:dyDescent="0.2">
      <c r="A22" s="18"/>
      <c r="B22" s="27" t="s">
        <v>42</v>
      </c>
      <c r="C22" s="19"/>
      <c r="D22" s="21"/>
      <c r="E22" s="19" t="s">
        <v>36</v>
      </c>
      <c r="F22" s="31" t="s">
        <v>23</v>
      </c>
      <c r="G22" s="21"/>
      <c r="H22" s="20"/>
      <c r="I22" s="41" t="str">
        <f t="shared" si="1"/>
        <v>Cement Mortared Stone Masonry: 272.01 m3</v>
      </c>
      <c r="J22" s="42"/>
      <c r="K22" s="42"/>
      <c r="L22" s="42"/>
      <c r="M22" s="43"/>
    </row>
    <row r="23" spans="1:13" x14ac:dyDescent="0.2">
      <c r="A23" s="18"/>
      <c r="B23" s="27" t="s">
        <v>43</v>
      </c>
      <c r="C23" s="19"/>
      <c r="D23" s="21"/>
      <c r="E23" s="19" t="s">
        <v>36</v>
      </c>
      <c r="F23" s="31" t="s">
        <v>24</v>
      </c>
      <c r="G23" s="21"/>
      <c r="H23" s="20"/>
      <c r="I23" s="41" t="str">
        <f t="shared" si="1"/>
        <v>Grouted Stone Pitch: 78.2 m2</v>
      </c>
      <c r="J23" s="42"/>
      <c r="K23" s="42"/>
      <c r="L23" s="42"/>
      <c r="M23" s="43"/>
    </row>
    <row r="24" spans="1:13" x14ac:dyDescent="0.2">
      <c r="A24" s="18"/>
      <c r="B24" s="28" t="s">
        <v>44</v>
      </c>
      <c r="C24" s="37"/>
      <c r="D24" s="29"/>
      <c r="E24" s="19" t="s">
        <v>36</v>
      </c>
      <c r="F24" s="33" t="s">
        <v>25</v>
      </c>
      <c r="G24" s="29"/>
      <c r="H24" s="20"/>
      <c r="I24" s="44" t="str">
        <f t="shared" si="1"/>
        <v>Class 'B' Bedding: 8.23 m3</v>
      </c>
      <c r="J24" s="45"/>
      <c r="K24" s="45"/>
      <c r="L24" s="45"/>
      <c r="M24" s="46"/>
    </row>
    <row r="25" spans="1:13" x14ac:dyDescent="0.2">
      <c r="A25" s="18"/>
      <c r="B25" s="22"/>
      <c r="C25" s="19"/>
      <c r="D25" s="20"/>
      <c r="E25" s="19"/>
      <c r="F25" s="20"/>
      <c r="G25" s="20"/>
      <c r="H25" s="20"/>
      <c r="I25" s="20"/>
      <c r="J25" s="20"/>
      <c r="K25" s="20"/>
      <c r="L25" s="20"/>
      <c r="M25" s="21"/>
    </row>
    <row r="26" spans="1:13" x14ac:dyDescent="0.2">
      <c r="A26" s="18"/>
      <c r="B26" s="22"/>
      <c r="C26" s="19"/>
      <c r="D26" s="20"/>
      <c r="E26" s="19"/>
      <c r="F26" s="20"/>
      <c r="G26" s="20"/>
      <c r="H26" s="20"/>
      <c r="I26" s="20"/>
      <c r="J26" s="20"/>
      <c r="K26" s="20"/>
      <c r="L26" s="20"/>
      <c r="M26" s="21"/>
    </row>
    <row r="27" spans="1:13" x14ac:dyDescent="0.2">
      <c r="A27" s="18"/>
      <c r="B27" s="22"/>
      <c r="C27" s="19"/>
      <c r="D27" s="20"/>
      <c r="E27" s="19"/>
      <c r="F27" s="20"/>
      <c r="G27" s="20"/>
      <c r="H27" s="20"/>
      <c r="I27" s="20"/>
      <c r="J27" s="20"/>
      <c r="K27" s="20"/>
      <c r="L27" s="20"/>
      <c r="M27" s="21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Y41"/>
  <sheetViews>
    <sheetView zoomScale="85" zoomScaleNormal="85" workbookViewId="0">
      <selection activeCell="B7" sqref="B7"/>
    </sheetView>
  </sheetViews>
  <sheetFormatPr defaultRowHeight="15" x14ac:dyDescent="0.25"/>
  <cols>
    <col min="1" max="1" width="6" style="1" bestFit="1" customWidth="1"/>
    <col min="2" max="2" width="8.5703125" style="1" customWidth="1"/>
    <col min="3" max="3" width="7.28515625" style="1" customWidth="1"/>
    <col min="4" max="5" width="5.85546875" style="1" customWidth="1"/>
    <col min="6" max="12" width="5.28515625" style="1" customWidth="1"/>
    <col min="13" max="13" width="9.140625" style="1" customWidth="1"/>
    <col min="14" max="23" width="5.5703125" style="1" customWidth="1"/>
    <col min="24" max="24" width="6.140625" style="1" customWidth="1"/>
    <col min="25" max="25" width="5" style="1" customWidth="1"/>
    <col min="26" max="16384" width="9.140625" style="1"/>
  </cols>
  <sheetData>
    <row r="1" spans="1:25" ht="15.75" x14ac:dyDescent="0.25">
      <c r="A1" s="59" t="s">
        <v>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</row>
    <row r="2" spans="1:25" hidden="1" x14ac:dyDescent="0.25">
      <c r="A2" s="10">
        <v>17</v>
      </c>
      <c r="B2" s="2"/>
      <c r="C2" s="2"/>
      <c r="D2" s="2"/>
      <c r="E2" s="2"/>
      <c r="F2" s="2"/>
      <c r="G2" s="2"/>
      <c r="H2" s="2"/>
      <c r="I2" s="2"/>
      <c r="J2" s="9"/>
      <c r="K2" s="2"/>
      <c r="L2" s="9"/>
      <c r="M2" s="2"/>
      <c r="N2" s="9"/>
      <c r="O2" s="9"/>
      <c r="P2" s="9"/>
      <c r="Q2" s="9"/>
      <c r="R2" s="9"/>
      <c r="S2" s="2"/>
      <c r="T2" s="2"/>
      <c r="U2" s="2"/>
      <c r="V2" s="2"/>
      <c r="W2" s="2"/>
      <c r="X2" s="2"/>
      <c r="Y2" s="2"/>
    </row>
    <row r="3" spans="1:25" hidden="1" x14ac:dyDescent="0.25">
      <c r="A3" s="2"/>
      <c r="B3" s="2"/>
      <c r="C3" s="2"/>
      <c r="D3" s="2"/>
      <c r="E3" s="2"/>
      <c r="F3" s="4"/>
      <c r="G3" s="4"/>
      <c r="H3" s="2"/>
      <c r="I3" s="2"/>
      <c r="J3" s="8"/>
      <c r="K3" s="2"/>
      <c r="L3" s="8"/>
      <c r="M3" s="2"/>
      <c r="N3" s="8"/>
      <c r="O3" s="8"/>
      <c r="P3" s="8"/>
      <c r="Q3" s="8"/>
      <c r="R3" s="8"/>
      <c r="S3" s="2"/>
      <c r="T3" s="2"/>
      <c r="U3" s="2"/>
      <c r="V3" s="2"/>
      <c r="W3" s="2"/>
      <c r="X3" s="2"/>
      <c r="Y3" s="2"/>
    </row>
    <row r="4" spans="1:25" hidden="1" x14ac:dyDescent="0.25">
      <c r="A4" s="2"/>
      <c r="B4" s="2"/>
      <c r="C4" s="2"/>
      <c r="D4" s="2"/>
      <c r="E4" s="2"/>
      <c r="F4" s="4"/>
      <c r="G4" s="4"/>
      <c r="H4" s="4"/>
      <c r="I4" s="4"/>
      <c r="J4" s="8"/>
      <c r="K4" s="4"/>
      <c r="L4" s="8"/>
      <c r="M4" s="4"/>
      <c r="N4" s="8"/>
      <c r="O4" s="8"/>
      <c r="P4" s="8"/>
      <c r="Q4" s="8"/>
      <c r="R4" s="8"/>
      <c r="S4" s="2"/>
      <c r="T4" s="2"/>
      <c r="U4" s="2"/>
      <c r="V4" s="2"/>
      <c r="W4" s="2"/>
      <c r="X4" s="2"/>
      <c r="Y4" s="2"/>
    </row>
    <row r="5" spans="1:25" x14ac:dyDescent="0.25">
      <c r="A5" s="7"/>
      <c r="B5" s="2"/>
      <c r="C5" s="2"/>
      <c r="D5" s="2"/>
      <c r="E5" s="2"/>
      <c r="F5" s="2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2"/>
      <c r="T5" s="2"/>
      <c r="U5" s="2"/>
      <c r="V5" s="2"/>
      <c r="W5" s="2"/>
      <c r="X5" s="2"/>
      <c r="Y5" s="2"/>
    </row>
    <row r="6" spans="1:25" x14ac:dyDescent="0.25">
      <c r="A6" s="5"/>
      <c r="B6" s="2"/>
      <c r="C6" s="4"/>
      <c r="D6" s="4"/>
      <c r="E6" s="4"/>
      <c r="F6" s="4"/>
      <c r="G6" s="4"/>
      <c r="H6" s="4"/>
      <c r="I6" s="4"/>
      <c r="J6" s="4"/>
      <c r="K6" s="4"/>
      <c r="L6" s="2"/>
      <c r="M6" s="4"/>
      <c r="N6" s="2"/>
      <c r="O6" s="2"/>
      <c r="P6" s="2"/>
      <c r="Q6" s="2"/>
      <c r="R6" s="2"/>
      <c r="S6" s="3"/>
      <c r="T6" s="3"/>
      <c r="U6" s="3"/>
      <c r="V6" s="3"/>
      <c r="W6" s="3"/>
      <c r="X6" s="3"/>
      <c r="Y6" s="3"/>
    </row>
    <row r="7" spans="1:25" x14ac:dyDescent="0.25">
      <c r="A7" s="5"/>
      <c r="B7" s="2"/>
      <c r="C7" s="4"/>
      <c r="D7" s="4"/>
      <c r="E7" s="4"/>
      <c r="F7" s="4"/>
      <c r="G7" s="4"/>
      <c r="H7" s="4"/>
      <c r="I7" s="4"/>
      <c r="J7" s="4"/>
      <c r="K7" s="4"/>
      <c r="L7" s="2"/>
      <c r="M7" s="4"/>
      <c r="N7" s="2"/>
      <c r="O7" s="2"/>
      <c r="P7" s="2"/>
      <c r="Q7" s="2"/>
      <c r="R7" s="2"/>
      <c r="S7" s="4"/>
      <c r="T7" s="4"/>
      <c r="U7" s="4"/>
      <c r="V7" s="4"/>
      <c r="W7" s="4"/>
      <c r="X7" s="4"/>
      <c r="Y7" s="4"/>
    </row>
    <row r="8" spans="1:25" x14ac:dyDescent="0.25">
      <c r="A8" s="7"/>
      <c r="B8" s="2"/>
      <c r="C8" s="6"/>
      <c r="D8" s="6"/>
      <c r="E8" s="6"/>
      <c r="F8" s="4"/>
      <c r="G8" s="4"/>
      <c r="H8" s="4"/>
      <c r="I8" s="4"/>
      <c r="J8" s="4"/>
      <c r="K8" s="4"/>
      <c r="L8" s="2"/>
      <c r="M8" s="4"/>
      <c r="N8" s="2"/>
      <c r="O8" s="2"/>
      <c r="P8" s="2"/>
      <c r="Q8" s="2"/>
      <c r="R8" s="2"/>
      <c r="S8" s="4"/>
      <c r="T8" s="4"/>
      <c r="U8" s="4"/>
      <c r="V8" s="4"/>
      <c r="W8" s="4"/>
      <c r="X8" s="4"/>
      <c r="Y8" s="4"/>
    </row>
    <row r="9" spans="1:25" x14ac:dyDescent="0.25">
      <c r="A9" s="7"/>
      <c r="B9" s="2"/>
      <c r="C9" s="6"/>
      <c r="D9" s="6"/>
      <c r="E9" s="6"/>
      <c r="F9" s="4"/>
      <c r="G9" s="4"/>
      <c r="H9" s="4"/>
      <c r="I9" s="4"/>
      <c r="J9" s="4"/>
      <c r="K9" s="4"/>
      <c r="L9" s="2"/>
      <c r="M9" s="4"/>
      <c r="N9" s="2"/>
      <c r="O9" s="2"/>
      <c r="P9" s="2"/>
      <c r="Q9" s="2"/>
      <c r="R9" s="2"/>
      <c r="S9" s="4"/>
      <c r="T9" s="4"/>
      <c r="U9" s="4"/>
      <c r="V9" s="4"/>
      <c r="W9" s="4"/>
      <c r="X9" s="4"/>
      <c r="Y9" s="4"/>
    </row>
    <row r="10" spans="1:25" x14ac:dyDescent="0.25">
      <c r="A10" s="7"/>
      <c r="B10" s="2"/>
      <c r="C10" s="6"/>
      <c r="D10" s="6"/>
      <c r="E10" s="6"/>
      <c r="F10" s="4"/>
      <c r="G10" s="4"/>
      <c r="H10" s="4"/>
      <c r="I10" s="4"/>
      <c r="J10" s="4"/>
      <c r="K10" s="4"/>
      <c r="L10" s="2"/>
      <c r="M10" s="4"/>
      <c r="N10" s="2"/>
      <c r="O10" s="2"/>
      <c r="P10" s="2"/>
      <c r="Q10" s="2"/>
      <c r="R10" s="2"/>
      <c r="S10" s="4"/>
      <c r="T10" s="4"/>
      <c r="U10" s="4"/>
      <c r="V10" s="4"/>
      <c r="W10" s="4"/>
      <c r="X10" s="4"/>
      <c r="Y10" s="4"/>
    </row>
    <row r="11" spans="1:25" x14ac:dyDescent="0.25">
      <c r="A11" s="7"/>
      <c r="B11" s="2"/>
      <c r="C11" s="6"/>
      <c r="D11" s="6"/>
      <c r="E11" s="6"/>
      <c r="F11" s="4"/>
      <c r="G11" s="4"/>
      <c r="H11" s="4"/>
      <c r="I11" s="4"/>
      <c r="J11" s="4"/>
      <c r="K11" s="4"/>
      <c r="L11" s="2"/>
      <c r="M11" s="4"/>
      <c r="N11" s="2"/>
      <c r="O11" s="2"/>
      <c r="P11" s="2"/>
      <c r="Q11" s="2"/>
      <c r="R11" s="2"/>
      <c r="S11" s="4"/>
      <c r="T11" s="4"/>
      <c r="U11" s="4"/>
      <c r="V11" s="4"/>
      <c r="W11" s="4"/>
      <c r="X11" s="4"/>
      <c r="Y11" s="4"/>
    </row>
    <row r="12" spans="1:2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  <c r="P12" s="3"/>
      <c r="Q12" s="3"/>
      <c r="R12" s="3"/>
      <c r="S12" s="3"/>
      <c r="T12" s="3"/>
      <c r="U12" s="3"/>
      <c r="V12" s="3"/>
      <c r="W12" s="3"/>
      <c r="X12" s="3"/>
      <c r="Y12" s="2"/>
    </row>
    <row r="13" spans="1:25" ht="15.75" x14ac:dyDescent="0.25">
      <c r="A13" s="59" t="s">
        <v>0</v>
      </c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</row>
    <row r="14" spans="1:2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  <c r="X14" s="3"/>
      <c r="Y14" s="2"/>
    </row>
    <row r="15" spans="1:2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  <c r="X15" s="3"/>
      <c r="Y15" s="2"/>
    </row>
    <row r="16" spans="1:2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  <c r="X16" s="3"/>
      <c r="Y16" s="2"/>
    </row>
    <row r="17" spans="1:2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  <c r="X17" s="3"/>
      <c r="Y17" s="2"/>
    </row>
    <row r="18" spans="1:25" ht="1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  <c r="X18" s="3"/>
      <c r="Y18" s="2"/>
    </row>
    <row r="19" spans="1:25" ht="15.7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  <c r="X19" s="3"/>
      <c r="Y19" s="2"/>
    </row>
    <row r="20" spans="1:2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  <c r="X20" s="3"/>
      <c r="Y20" s="2"/>
    </row>
    <row r="21" spans="1:2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  <c r="X21" s="3"/>
      <c r="Y21" s="2"/>
    </row>
    <row r="22" spans="1:2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"/>
      <c r="T22" s="3"/>
      <c r="U22" s="3"/>
      <c r="V22" s="3"/>
      <c r="W22" s="3"/>
      <c r="X22" s="3"/>
      <c r="Y22" s="2"/>
    </row>
    <row r="23" spans="1:2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3"/>
      <c r="T23" s="3"/>
      <c r="U23" s="3"/>
      <c r="V23" s="3"/>
      <c r="W23" s="3"/>
      <c r="X23" s="3"/>
      <c r="Y23" s="2"/>
    </row>
    <row r="24" spans="1:2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3"/>
      <c r="T24" s="3"/>
      <c r="U24" s="3"/>
      <c r="V24" s="3"/>
      <c r="W24" s="3"/>
      <c r="X24" s="3"/>
      <c r="Y24" s="2"/>
    </row>
    <row r="25" spans="1:25" customFormat="1" ht="12.75" x14ac:dyDescent="0.2"/>
    <row r="26" spans="1:25" customFormat="1" ht="12.75" x14ac:dyDescent="0.2"/>
    <row r="27" spans="1:25" customFormat="1" ht="12.75" x14ac:dyDescent="0.2"/>
    <row r="28" spans="1:25" customFormat="1" ht="12.75" x14ac:dyDescent="0.2"/>
    <row r="29" spans="1:25" customFormat="1" ht="12.75" x14ac:dyDescent="0.2"/>
    <row r="30" spans="1:25" customFormat="1" ht="12.75" x14ac:dyDescent="0.2"/>
    <row r="31" spans="1:25" customFormat="1" ht="12.75" x14ac:dyDescent="0.2"/>
    <row r="32" spans="1:25" customFormat="1" ht="12.75" x14ac:dyDescent="0.2"/>
    <row r="33" customFormat="1" ht="12.75" x14ac:dyDescent="0.2"/>
    <row r="34" customFormat="1" ht="12.75" x14ac:dyDescent="0.2"/>
    <row r="35" customFormat="1" ht="12.75" x14ac:dyDescent="0.2"/>
    <row r="36" customFormat="1" ht="12.75" x14ac:dyDescent="0.2"/>
    <row r="37" customFormat="1" ht="12.75" x14ac:dyDescent="0.2"/>
    <row r="38" customFormat="1" ht="12.75" x14ac:dyDescent="0.2"/>
    <row r="39" customFormat="1" ht="12.75" x14ac:dyDescent="0.2"/>
    <row r="40" customFormat="1" ht="12.75" x14ac:dyDescent="0.2"/>
    <row r="41" customFormat="1" ht="12.75" x14ac:dyDescent="0.2"/>
  </sheetData>
  <sheetProtection formatCells="0" formatColumns="0" formatRows="0" insertColumns="0" insertRows="0" insertHyperlinks="0" deleteColumns="0" deleteRows="0" sort="0" autoFilter="0" pivotTables="0"/>
  <mergeCells count="2">
    <mergeCell ref="A1:Y1"/>
    <mergeCell ref="A13:Y13"/>
  </mergeCells>
  <dataValidations count="1">
    <dataValidation type="list" allowBlank="1" showInputMessage="1" showErrorMessage="1" sqref="H5">
      <formula1>"pier,no_pier"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59999389629810485"/>
  </sheetPr>
  <dimension ref="A1:O16"/>
  <sheetViews>
    <sheetView zoomScale="85" zoomScaleNormal="85" workbookViewId="0">
      <selection activeCell="E13" sqref="E13"/>
    </sheetView>
  </sheetViews>
  <sheetFormatPr defaultColWidth="8" defaultRowHeight="15" x14ac:dyDescent="0.25"/>
  <cols>
    <col min="1" max="16384" width="8" style="1"/>
  </cols>
  <sheetData>
    <row r="1" spans="1:15" ht="15.75" x14ac:dyDescent="0.25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1:15" x14ac:dyDescent="0.25">
      <c r="A2" s="17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/>
      <c r="B3" s="2"/>
      <c r="C3" s="2"/>
      <c r="D3" s="2"/>
      <c r="E3" s="2"/>
      <c r="F3" s="4"/>
      <c r="G3" s="4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/>
      <c r="B4" s="2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x14ac:dyDescent="0.25">
      <c r="A5" s="7"/>
      <c r="B5" s="2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5">
      <c r="A6" s="7"/>
      <c r="B6" s="2"/>
      <c r="C6" s="4"/>
      <c r="D6" s="4"/>
      <c r="E6" s="4"/>
      <c r="F6" s="4"/>
      <c r="G6" s="4"/>
      <c r="H6" s="4"/>
      <c r="I6" s="4"/>
      <c r="J6" s="4"/>
      <c r="K6" s="4"/>
      <c r="L6" s="2"/>
      <c r="M6" s="4"/>
      <c r="N6" s="2"/>
      <c r="O6" s="2"/>
    </row>
    <row r="7" spans="1:15" x14ac:dyDescent="0.25">
      <c r="A7" s="7"/>
      <c r="B7" s="2"/>
      <c r="C7" s="4"/>
      <c r="D7" s="4"/>
      <c r="E7" s="4"/>
      <c r="F7" s="4"/>
      <c r="G7" s="4"/>
      <c r="H7" s="4"/>
      <c r="I7" s="4"/>
      <c r="J7" s="4"/>
      <c r="K7" s="4"/>
      <c r="L7" s="2"/>
      <c r="M7" s="4"/>
      <c r="N7" s="2"/>
      <c r="O7" s="2"/>
    </row>
    <row r="8" spans="1:15" x14ac:dyDescent="0.25">
      <c r="A8" s="5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</row>
    <row r="9" spans="1:15" x14ac:dyDescent="0.25">
      <c r="A9" s="5"/>
      <c r="B9" s="2"/>
      <c r="C9" s="2"/>
      <c r="D9" s="4"/>
      <c r="E9" s="2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 ht="15.75" x14ac:dyDescent="0.25">
      <c r="A10" s="61" t="s">
        <v>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</row>
    <row r="11" spans="1:15" x14ac:dyDescent="0.25">
      <c r="A11" s="16"/>
      <c r="B11" s="15"/>
      <c r="C11" s="15"/>
      <c r="D11" s="15"/>
      <c r="E11" s="15"/>
      <c r="F11" s="15"/>
      <c r="G11" s="14"/>
      <c r="H11" s="14"/>
      <c r="I11" s="14"/>
      <c r="J11" s="14"/>
      <c r="K11" s="14"/>
      <c r="L11" s="14"/>
      <c r="M11" s="14"/>
      <c r="N11" s="14"/>
      <c r="O11" s="14"/>
    </row>
    <row r="12" spans="1:15" x14ac:dyDescent="0.25">
      <c r="A12" s="5"/>
      <c r="B12" s="2"/>
      <c r="C12" s="2"/>
      <c r="D12" s="2"/>
      <c r="E12" s="2"/>
      <c r="F12" s="2"/>
      <c r="G12" s="4"/>
      <c r="H12" s="4"/>
      <c r="I12" s="4"/>
      <c r="J12" s="4"/>
      <c r="K12" s="4"/>
      <c r="L12" s="4"/>
      <c r="M12" s="4"/>
      <c r="N12" s="4"/>
      <c r="O12" s="4"/>
    </row>
    <row r="13" spans="1:15" x14ac:dyDescent="0.25">
      <c r="A13" s="5"/>
      <c r="B13" s="2"/>
      <c r="C13" s="2"/>
      <c r="D13" s="2"/>
      <c r="E13" s="2"/>
      <c r="F13" s="2"/>
      <c r="G13" s="4"/>
      <c r="H13" s="4"/>
      <c r="I13" s="4"/>
      <c r="J13" s="4"/>
      <c r="K13" s="4"/>
      <c r="L13" s="4"/>
      <c r="M13" s="4"/>
      <c r="N13" s="4"/>
      <c r="O13" s="4"/>
    </row>
    <row r="14" spans="1:15" x14ac:dyDescent="0.25">
      <c r="A14" s="5"/>
      <c r="B14" s="2"/>
      <c r="C14" s="4"/>
      <c r="D14" s="4"/>
      <c r="E14" s="4"/>
      <c r="F14" s="4"/>
      <c r="G14" s="4"/>
      <c r="H14" s="4"/>
      <c r="I14" s="4"/>
      <c r="J14" s="4"/>
      <c r="K14" s="4"/>
      <c r="L14" s="2"/>
      <c r="M14" s="4"/>
      <c r="N14" s="2"/>
      <c r="O14" s="2"/>
    </row>
    <row r="15" spans="1:15" x14ac:dyDescent="0.25">
      <c r="A15" s="5"/>
      <c r="B15" s="2"/>
      <c r="C15" s="4"/>
      <c r="D15" s="4"/>
      <c r="E15" s="4"/>
      <c r="F15" s="4"/>
      <c r="G15" s="4"/>
      <c r="H15" s="4"/>
      <c r="I15" s="4"/>
      <c r="J15" s="4"/>
      <c r="K15" s="4"/>
      <c r="L15" s="3"/>
      <c r="M15" s="4"/>
      <c r="N15" s="3"/>
      <c r="O15" s="3"/>
    </row>
    <row r="16" spans="1:15" x14ac:dyDescent="0.25">
      <c r="A16" s="13"/>
      <c r="B16" s="12"/>
      <c r="C16" s="12"/>
      <c r="D16" s="11"/>
      <c r="E16" s="12"/>
      <c r="F16" s="11"/>
      <c r="G16" s="11"/>
      <c r="H16" s="11"/>
      <c r="I16" s="11"/>
      <c r="J16" s="11"/>
      <c r="K16" s="11"/>
      <c r="L16" s="11"/>
      <c r="M16" s="11"/>
      <c r="N16" s="11"/>
      <c r="O16" s="11"/>
    </row>
  </sheetData>
  <mergeCells count="2">
    <mergeCell ref="A1:O1"/>
    <mergeCell ref="A10:O10"/>
  </mergeCells>
  <dataValidations count="1">
    <dataValidation type="list" allowBlank="1" showInputMessage="1" showErrorMessage="1" sqref="H5 H11:H13">
      <formula1>"pier,no_pier"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</sheetPr>
  <dimension ref="A1:G34"/>
  <sheetViews>
    <sheetView topLeftCell="A7" workbookViewId="0">
      <selection activeCell="A4" sqref="A4:G4"/>
    </sheetView>
  </sheetViews>
  <sheetFormatPr defaultRowHeight="15" x14ac:dyDescent="0.25"/>
  <cols>
    <col min="1" max="2" width="9.140625" style="1"/>
    <col min="3" max="5" width="11" style="1" customWidth="1"/>
    <col min="6" max="16384" width="9.140625" style="1"/>
  </cols>
  <sheetData>
    <row r="1" spans="1:7" x14ac:dyDescent="0.25">
      <c r="C1" s="63" t="s">
        <v>9</v>
      </c>
      <c r="D1" s="63"/>
      <c r="E1" s="63"/>
    </row>
    <row r="2" spans="1:7" x14ac:dyDescent="0.25">
      <c r="C2" s="63"/>
      <c r="D2" s="63"/>
      <c r="E2" s="63"/>
    </row>
    <row r="4" spans="1:7" x14ac:dyDescent="0.25">
      <c r="A4" s="62" t="s">
        <v>7</v>
      </c>
      <c r="B4" s="62"/>
      <c r="C4" s="62"/>
      <c r="D4" s="62"/>
      <c r="E4" s="62"/>
      <c r="F4" s="62"/>
      <c r="G4" s="62"/>
    </row>
    <row r="8" spans="1:7" x14ac:dyDescent="0.25">
      <c r="A8" s="62" t="s">
        <v>6</v>
      </c>
      <c r="B8" s="62"/>
      <c r="C8" s="62"/>
      <c r="D8" s="62"/>
      <c r="E8" s="62"/>
      <c r="F8" s="62"/>
      <c r="G8" s="62"/>
    </row>
    <row r="12" spans="1:7" x14ac:dyDescent="0.25">
      <c r="A12" s="62" t="s">
        <v>5</v>
      </c>
      <c r="B12" s="62"/>
      <c r="C12" s="62"/>
      <c r="D12" s="62"/>
      <c r="E12" s="62"/>
      <c r="F12" s="62"/>
      <c r="G12" s="62"/>
    </row>
    <row r="16" spans="1:7" x14ac:dyDescent="0.25">
      <c r="A16" s="62" t="s">
        <v>4</v>
      </c>
      <c r="B16" s="62"/>
      <c r="C16" s="62"/>
      <c r="D16" s="62"/>
      <c r="E16" s="62"/>
      <c r="F16" s="62"/>
      <c r="G16" s="62"/>
    </row>
    <row r="19" spans="1:7" x14ac:dyDescent="0.25">
      <c r="C19" s="63" t="s">
        <v>8</v>
      </c>
      <c r="D19" s="63"/>
      <c r="E19" s="63"/>
    </row>
    <row r="20" spans="1:7" x14ac:dyDescent="0.25">
      <c r="C20" s="63"/>
      <c r="D20" s="63"/>
      <c r="E20" s="63"/>
    </row>
    <row r="22" spans="1:7" x14ac:dyDescent="0.25">
      <c r="A22" s="62" t="s">
        <v>7</v>
      </c>
      <c r="B22" s="62"/>
      <c r="C22" s="62"/>
      <c r="D22" s="62"/>
      <c r="E22" s="62"/>
      <c r="F22" s="62"/>
      <c r="G22" s="62"/>
    </row>
    <row r="26" spans="1:7" x14ac:dyDescent="0.25">
      <c r="A26" s="62" t="s">
        <v>6</v>
      </c>
      <c r="B26" s="62"/>
      <c r="C26" s="62"/>
      <c r="D26" s="62"/>
      <c r="E26" s="62"/>
      <c r="F26" s="62"/>
      <c r="G26" s="62"/>
    </row>
    <row r="30" spans="1:7" x14ac:dyDescent="0.25">
      <c r="A30" s="62" t="s">
        <v>5</v>
      </c>
      <c r="B30" s="62"/>
      <c r="C30" s="62"/>
      <c r="D30" s="62"/>
      <c r="E30" s="62"/>
      <c r="F30" s="62"/>
      <c r="G30" s="62"/>
    </row>
    <row r="34" spans="1:7" x14ac:dyDescent="0.25">
      <c r="A34" s="62" t="s">
        <v>4</v>
      </c>
      <c r="B34" s="62"/>
      <c r="C34" s="62"/>
      <c r="D34" s="62"/>
      <c r="E34" s="62"/>
      <c r="F34" s="62"/>
      <c r="G34" s="62"/>
    </row>
  </sheetData>
  <mergeCells count="10">
    <mergeCell ref="A22:G22"/>
    <mergeCell ref="A26:G26"/>
    <mergeCell ref="A30:G30"/>
    <mergeCell ref="A34:G34"/>
    <mergeCell ref="C1:E2"/>
    <mergeCell ref="A4:G4"/>
    <mergeCell ref="A8:G8"/>
    <mergeCell ref="A12:G12"/>
    <mergeCell ref="A16:G16"/>
    <mergeCell ref="C19:E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Pipe</vt:lpstr>
      <vt:lpstr>Box</vt:lpstr>
      <vt:lpstr>Slab</vt:lpstr>
      <vt:lpstr>Manhole</vt:lpstr>
      <vt:lpstr>RW_Reinforcement</vt:lpstr>
      <vt:lpstr>RW_CrashBarrier</vt:lpstr>
      <vt:lpstr>comput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2020-08-09T12:28:01Z</dcterms:created>
  <dcterms:modified xsi:type="dcterms:W3CDTF">2020-09-20T14:22:08Z</dcterms:modified>
</cp:coreProperties>
</file>