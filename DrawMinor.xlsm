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-15" yWindow="-15" windowWidth="18210" windowHeight="5580" firstSheet="4" activeTab="6"/>
  </bookViews>
  <sheets>
    <sheet name="main" sheetId="1" r:id="rId1"/>
    <sheet name="PipeEnd_data" sheetId="3" r:id="rId2"/>
    <sheet name="Manhole" sheetId="5" r:id="rId3"/>
    <sheet name="RW_Section" sheetId="10" r:id="rId4"/>
    <sheet name="RW_Massonary" sheetId="12" r:id="rId5"/>
    <sheet name="BOX_CU" sheetId="14" r:id="rId6"/>
    <sheet name="SLB_CU" sheetId="15" r:id="rId7"/>
    <sheet name="Sheet1" sheetId="16" r:id="rId8"/>
  </sheets>
  <definedNames>
    <definedName name="_xlnm._FilterDatabase" localSheetId="0" hidden="1">main!$B$8:$B$9</definedName>
    <definedName name="a_double">PipeEnd_data!$B$21:$I$25</definedName>
    <definedName name="a_single">PipeEnd_data!$B$16:$I$20</definedName>
    <definedName name="a_title">PipeEnd_data!$B$14:$I$15</definedName>
    <definedName name="a_triple">PipeEnd_data!$B$26:$I$30</definedName>
    <definedName name="ai_double">PipeEnd_data!$B$84:$M$88</definedName>
    <definedName name="ai_single">PipeEnd_data!$B$79:$M$83</definedName>
    <definedName name="ai_title">PipeEnd_data!$B$77:$M$78</definedName>
    <definedName name="ai_triple">PipeEnd_data!$B$89:$M$93</definedName>
    <definedName name="b_double">PipeEnd_data!$B$63:$M$67</definedName>
    <definedName name="b_single">PipeEnd_data!$B$58:$M$62</definedName>
    <definedName name="b_title">PipeEnd_data!$B$56:$M$57</definedName>
    <definedName name="b_triple">PipeEnd_data!$B$68:$M$72</definedName>
    <definedName name="c_double">PipeEnd_data!$B$42:$L$46</definedName>
    <definedName name="c_single">PipeEnd_data!$B$37:$L$41</definedName>
    <definedName name="c_title">PipeEnd_data!$B$35:$L$36</definedName>
    <definedName name="c_triple">PipeEnd_data!$B$47:$L$51</definedName>
  </definedNames>
  <calcPr calcId="124519"/>
  <customWorkbookViews>
    <customWorkbookView name="33" guid="{A4DA0C6D-D584-455D-A4B7-603EE27383F6}" maximized="1" windowWidth="1280" windowHeight="838" activeSheetId="1" showComments="commIndAndComment"/>
  </customWorkbookViews>
</workbook>
</file>

<file path=xl/calcChain.xml><?xml version="1.0" encoding="utf-8"?>
<calcChain xmlns="http://schemas.openxmlformats.org/spreadsheetml/2006/main">
  <c r="C2" i="1"/>
  <c r="J16" i="15" l="1"/>
  <c r="K12"/>
  <c r="F16" l="1"/>
  <c r="I16" l="1"/>
  <c r="F12" l="1"/>
  <c r="F3" i="3"/>
  <c r="I12" i="15"/>
  <c r="D2" i="14" l="1"/>
  <c r="F3" i="5" l="1"/>
  <c r="B2" i="1" l="1"/>
  <c r="I6"/>
  <c r="H1" i="3" l="1"/>
  <c r="E3"/>
  <c r="D3"/>
  <c r="C3"/>
  <c r="D10" l="1"/>
  <c r="H10"/>
  <c r="L10"/>
  <c r="B10"/>
  <c r="E10"/>
  <c r="I10"/>
  <c r="M10"/>
  <c r="B9"/>
  <c r="F10"/>
  <c r="J10"/>
  <c r="N10"/>
  <c r="C10"/>
  <c r="G10"/>
  <c r="K10"/>
  <c r="O10"/>
  <c r="E6"/>
  <c r="I6"/>
  <c r="M6"/>
  <c r="F6"/>
  <c r="J6"/>
  <c r="N6"/>
  <c r="C6"/>
  <c r="G6"/>
  <c r="K6"/>
  <c r="O6"/>
  <c r="D6"/>
  <c r="H6"/>
  <c r="L6"/>
  <c r="B6"/>
  <c r="N5"/>
  <c r="O5"/>
  <c r="H9"/>
  <c r="M9"/>
  <c r="E9"/>
  <c r="L9"/>
  <c r="D9"/>
  <c r="I9"/>
  <c r="O9"/>
  <c r="K9"/>
  <c r="G9"/>
  <c r="N9"/>
  <c r="C9"/>
  <c r="J9"/>
  <c r="F9"/>
  <c r="B5"/>
  <c r="L5"/>
  <c r="D5"/>
  <c r="Q5"/>
  <c r="I5"/>
  <c r="P5"/>
  <c r="H5"/>
  <c r="M5"/>
  <c r="E5"/>
  <c r="S5"/>
  <c r="K5"/>
  <c r="G5"/>
  <c r="C5"/>
  <c r="R5"/>
  <c r="J5"/>
  <c r="F5"/>
  <c r="J2" i="1" l="1"/>
</calcChain>
</file>

<file path=xl/comments1.xml><?xml version="1.0" encoding="utf-8"?>
<comments xmlns="http://schemas.openxmlformats.org/spreadsheetml/2006/main">
  <authors>
    <author>user</author>
  </authors>
  <commentList>
    <comment ref="B13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MH__comment
</t>
        </r>
        <r>
          <rPr>
            <sz val="9"/>
            <color indexed="10"/>
            <rFont val="Tahoma"/>
            <family val="2"/>
          </rPr>
          <t>&gt;&gt;</t>
        </r>
        <r>
          <rPr>
            <sz val="9"/>
            <color indexed="81"/>
            <rFont val="Tahoma"/>
            <family val="2"/>
          </rPr>
          <t xml:space="preserve"> adjust section interms of diameter 
</t>
        </r>
        <r>
          <rPr>
            <sz val="9"/>
            <color indexed="10"/>
            <rFont val="Tahoma"/>
            <family val="2"/>
          </rPr>
          <t>&gt;&gt;</t>
        </r>
        <r>
          <rPr>
            <sz val="9"/>
            <color indexed="81"/>
            <rFont val="Tahoma"/>
            <family val="2"/>
          </rPr>
          <t xml:space="preserve">
       </t>
        </r>
        <r>
          <rPr>
            <sz val="9"/>
            <color indexed="10"/>
            <rFont val="Tahoma"/>
            <family val="2"/>
          </rPr>
          <t>&gt;&gt;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try adjusting so that when get selected… it 
draws 0.1m below crashbarrier asside from the roadway</t>
        </r>
      </text>
    </comment>
    <comment ref="D2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adjust here… 
there is problem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USED FOR 
DETERMINING 
THE SLAB THICKNESS</t>
        </r>
      </text>
    </comment>
    <comment ref="H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safe if it is less than
1.5m</t>
        </r>
      </text>
    </comment>
    <comment ref="D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&gt;deterimed from fill height
&gt;from table standard</t>
        </r>
      </text>
    </comment>
    <comment ref="H14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safe if it is less than 
1.5m</t>
        </r>
      </text>
    </comment>
  </commentList>
</comments>
</file>

<file path=xl/sharedStrings.xml><?xml version="1.0" encoding="utf-8"?>
<sst xmlns="http://schemas.openxmlformats.org/spreadsheetml/2006/main" count="276" uniqueCount="133">
  <si>
    <t>Slope=</t>
  </si>
  <si>
    <t>in percent(%)</t>
  </si>
  <si>
    <t xml:space="preserve">              Left_End_Stru=</t>
  </si>
  <si>
    <t xml:space="preserve">      Right_End_Stru=</t>
  </si>
  <si>
    <t>Dia_pipe(mm)</t>
  </si>
  <si>
    <t>Type C end structure datas</t>
  </si>
  <si>
    <t>Type A end structure datas</t>
  </si>
  <si>
    <t>Type B end structure datas</t>
  </si>
  <si>
    <t>Di</t>
  </si>
  <si>
    <t>H1</t>
  </si>
  <si>
    <t>(mm)</t>
  </si>
  <si>
    <t>Do</t>
  </si>
  <si>
    <t>t</t>
  </si>
  <si>
    <t>L1</t>
  </si>
  <si>
    <t>W1</t>
  </si>
  <si>
    <t>B1</t>
  </si>
  <si>
    <t>Massonary</t>
  </si>
  <si>
    <t>Stone Pitch</t>
  </si>
  <si>
    <t>SINGLE PIPE</t>
  </si>
  <si>
    <t>DOUBLE PIPE</t>
  </si>
  <si>
    <t>TRIPLE PIPE</t>
  </si>
  <si>
    <t>L2</t>
  </si>
  <si>
    <t>W2</t>
  </si>
  <si>
    <t>H2</t>
  </si>
  <si>
    <t>B2</t>
  </si>
  <si>
    <t>H3</t>
  </si>
  <si>
    <t>Type A Inlet structure datas</t>
  </si>
  <si>
    <t>Quantity</t>
  </si>
  <si>
    <t>L3</t>
  </si>
  <si>
    <t>dia(mm)</t>
  </si>
  <si>
    <t>Rht_EndS</t>
  </si>
  <si>
    <t>Lft_EndS</t>
  </si>
  <si>
    <t>No_cell</t>
  </si>
  <si>
    <t>slope_is</t>
  </si>
  <si>
    <t>pipe_thk</t>
  </si>
  <si>
    <t>pipe</t>
  </si>
  <si>
    <t xml:space="preserve"> </t>
  </si>
  <si>
    <r>
      <t xml:space="preserve">Pipe __ Culverts                   </t>
    </r>
    <r>
      <rPr>
        <b/>
        <sz val="11"/>
        <color rgb="FFFF0000"/>
        <rFont val="Calibri"/>
        <family val="2"/>
        <scheme val="minor"/>
      </rPr>
      <t xml:space="preserve"> Pipe __ Culverts </t>
    </r>
    <r>
      <rPr>
        <b/>
        <sz val="11"/>
        <color theme="1"/>
        <rFont val="Calibri"/>
        <family val="2"/>
        <scheme val="minor"/>
      </rPr>
      <t xml:space="preserve">                  </t>
    </r>
    <r>
      <rPr>
        <b/>
        <sz val="11"/>
        <color theme="6"/>
        <rFont val="Calibri"/>
        <family val="2"/>
        <scheme val="minor"/>
      </rPr>
      <t xml:space="preserve"> Pipe __ Culverts</t>
    </r>
    <r>
      <rPr>
        <b/>
        <sz val="11"/>
        <color theme="1"/>
        <rFont val="Calibri"/>
        <family val="2"/>
        <scheme val="minor"/>
      </rPr>
      <t xml:space="preserve">               </t>
    </r>
    <r>
      <rPr>
        <b/>
        <sz val="11"/>
        <color rgb="FFFFFF00"/>
        <rFont val="Calibri"/>
        <family val="2"/>
        <scheme val="minor"/>
      </rPr>
      <t xml:space="preserve">Pipe __ Culverts   </t>
    </r>
  </si>
  <si>
    <r>
      <t xml:space="preserve">Quantity __ Calculation                  </t>
    </r>
    <r>
      <rPr>
        <b/>
        <sz val="11"/>
        <color rgb="FFFF0000"/>
        <rFont val="Calibri"/>
        <family val="2"/>
        <scheme val="minor"/>
      </rPr>
      <t>Quantity __ Calculation</t>
    </r>
    <r>
      <rPr>
        <b/>
        <sz val="11"/>
        <color theme="1"/>
        <rFont val="Calibri"/>
        <family val="2"/>
        <scheme val="minor"/>
      </rPr>
      <t xml:space="preserve">                      </t>
    </r>
    <r>
      <rPr>
        <b/>
        <sz val="11"/>
        <color rgb="FFFFFF00"/>
        <rFont val="Calibri"/>
        <family val="2"/>
        <scheme val="minor"/>
      </rPr>
      <t>Quantity __ Calculation</t>
    </r>
  </si>
  <si>
    <t>curb</t>
  </si>
  <si>
    <t>yes</t>
  </si>
  <si>
    <t>pipe_data</t>
  </si>
  <si>
    <t>Pipe(mm)</t>
  </si>
  <si>
    <t>Thickness(m)</t>
  </si>
  <si>
    <t>thickness(m)</t>
  </si>
  <si>
    <t>bottom</t>
  </si>
  <si>
    <t>side</t>
  </si>
  <si>
    <t>pipe_thickness(m)</t>
  </si>
  <si>
    <t>MH_thickness(m)</t>
  </si>
  <si>
    <t>position_fm_spacing(m)</t>
  </si>
  <si>
    <t>m</t>
  </si>
  <si>
    <r>
      <t xml:space="preserve">Draw_Retaining_wall                 </t>
    </r>
    <r>
      <rPr>
        <b/>
        <sz val="11"/>
        <color rgb="FFFF0000"/>
        <rFont val="Calibri"/>
        <family val="2"/>
        <scheme val="minor"/>
      </rPr>
      <t>Draw_Mahhole</t>
    </r>
    <r>
      <rPr>
        <b/>
        <sz val="11"/>
        <color theme="1"/>
        <rFont val="Calibri"/>
        <family val="2"/>
        <scheme val="minor"/>
      </rPr>
      <t xml:space="preserve">                   </t>
    </r>
    <r>
      <rPr>
        <b/>
        <sz val="11"/>
        <color theme="6" tint="-0.249977111117893"/>
        <rFont val="Calibri"/>
        <family val="2"/>
        <scheme val="minor"/>
      </rPr>
      <t>Draw_Mahole</t>
    </r>
    <r>
      <rPr>
        <b/>
        <sz val="11"/>
        <color theme="1"/>
        <rFont val="Calibri"/>
        <family val="2"/>
        <scheme val="minor"/>
      </rPr>
      <t xml:space="preserve">                       </t>
    </r>
    <r>
      <rPr>
        <b/>
        <sz val="11"/>
        <color rgb="FFFFFF00"/>
        <rFont val="Calibri"/>
        <family val="2"/>
        <scheme val="minor"/>
      </rPr>
      <t xml:space="preserve">Draw_Retaining_wall  </t>
    </r>
  </si>
  <si>
    <r>
      <t xml:space="preserve">Draw_Box_Culvert                 </t>
    </r>
    <r>
      <rPr>
        <b/>
        <sz val="11"/>
        <color rgb="FFFF0000"/>
        <rFont val="Calibri"/>
        <family val="2"/>
        <scheme val="minor"/>
      </rPr>
      <t>Draw_Slab_Culvert</t>
    </r>
    <r>
      <rPr>
        <b/>
        <sz val="11"/>
        <color theme="1"/>
        <rFont val="Calibri"/>
        <family val="2"/>
        <scheme val="minor"/>
      </rPr>
      <t xml:space="preserve">                   </t>
    </r>
    <r>
      <rPr>
        <b/>
        <sz val="11"/>
        <color theme="6" tint="-0.249977111117893"/>
        <rFont val="Calibri"/>
        <family val="2"/>
        <scheme val="minor"/>
      </rPr>
      <t>Draw_Box_Culvert</t>
    </r>
    <r>
      <rPr>
        <b/>
        <sz val="11"/>
        <color theme="1"/>
        <rFont val="Calibri"/>
        <family val="2"/>
        <scheme val="minor"/>
      </rPr>
      <t xml:space="preserve">                       </t>
    </r>
    <r>
      <rPr>
        <b/>
        <sz val="11"/>
        <color rgb="FFFFFF00"/>
        <rFont val="Calibri"/>
        <family val="2"/>
        <scheme val="minor"/>
      </rPr>
      <t xml:space="preserve">Draw_Slab_Culvert  </t>
    </r>
  </si>
  <si>
    <t>C</t>
  </si>
  <si>
    <t>A_Inlet</t>
  </si>
  <si>
    <t>Standard_dwg__Normal</t>
  </si>
  <si>
    <t>Fill side</t>
  </si>
  <si>
    <t>Right</t>
  </si>
  <si>
    <t xml:space="preserve">   &gt;&gt;&gt;&gt;&gt;&gt;&gt;</t>
  </si>
  <si>
    <t>slope</t>
  </si>
  <si>
    <t>Crash_B</t>
  </si>
  <si>
    <t>Table of Dimensions of the wall (m)</t>
  </si>
  <si>
    <t>H</t>
  </si>
  <si>
    <t>T1</t>
  </si>
  <si>
    <t>T2</t>
  </si>
  <si>
    <t>T3</t>
  </si>
  <si>
    <t>T4</t>
  </si>
  <si>
    <t>T5</t>
  </si>
  <si>
    <t>T6</t>
  </si>
  <si>
    <t>T7</t>
  </si>
  <si>
    <t>T8</t>
  </si>
  <si>
    <t>L</t>
  </si>
  <si>
    <t>H*</t>
  </si>
  <si>
    <t>Standard_dwg__L_shaped</t>
  </si>
  <si>
    <t>Left</t>
  </si>
  <si>
    <t>L-Shaped _(cut_section)</t>
  </si>
  <si>
    <t>L-Shaped _(fill_section)</t>
  </si>
  <si>
    <t>Standard_dwg__Massonary_RW</t>
  </si>
  <si>
    <t>Reinforcement_Standard_dwg__L_shaped</t>
  </si>
  <si>
    <t>anticipated===</t>
  </si>
  <si>
    <t>entered</t>
  </si>
  <si>
    <t>opening (m)</t>
  </si>
  <si>
    <t>wingWwidth</t>
  </si>
  <si>
    <t xml:space="preserve">the inlet pitch wall slope should be 1% </t>
  </si>
  <si>
    <r>
      <t xml:space="preserve">BOX __ Culverts                   </t>
    </r>
    <r>
      <rPr>
        <b/>
        <sz val="11"/>
        <color rgb="FFFF0000"/>
        <rFont val="Calibri"/>
        <family val="2"/>
        <scheme val="minor"/>
      </rPr>
      <t xml:space="preserve"> BOX __ Culverts </t>
    </r>
    <r>
      <rPr>
        <b/>
        <sz val="11"/>
        <color theme="1"/>
        <rFont val="Calibri"/>
        <family val="2"/>
        <scheme val="minor"/>
      </rPr>
      <t xml:space="preserve">                  </t>
    </r>
    <r>
      <rPr>
        <b/>
        <sz val="11"/>
        <color theme="6"/>
        <rFont val="Calibri"/>
        <family val="2"/>
        <scheme val="minor"/>
      </rPr>
      <t xml:space="preserve"> BOX__ Culverts</t>
    </r>
    <r>
      <rPr>
        <b/>
        <sz val="11"/>
        <color theme="1"/>
        <rFont val="Calibri"/>
        <family val="2"/>
        <scheme val="minor"/>
      </rPr>
      <t xml:space="preserve">               </t>
    </r>
    <r>
      <rPr>
        <b/>
        <sz val="11"/>
        <color rgb="FFFFFF00"/>
        <rFont val="Calibri"/>
        <family val="2"/>
        <scheme val="minor"/>
      </rPr>
      <t xml:space="preserve">BOX__ Culverts   </t>
    </r>
  </si>
  <si>
    <r>
      <t xml:space="preserve">Manhole__ Structure                   </t>
    </r>
    <r>
      <rPr>
        <b/>
        <sz val="11"/>
        <color rgb="FFFF0000"/>
        <rFont val="Calibri"/>
        <family val="2"/>
        <scheme val="minor"/>
      </rPr>
      <t xml:space="preserve"> Manhole__ Structure </t>
    </r>
    <r>
      <rPr>
        <b/>
        <sz val="11"/>
        <color theme="1"/>
        <rFont val="Calibri"/>
        <family val="2"/>
        <scheme val="minor"/>
      </rPr>
      <t xml:space="preserve">                  </t>
    </r>
    <r>
      <rPr>
        <b/>
        <sz val="11"/>
        <color theme="6"/>
        <rFont val="Calibri"/>
        <family val="2"/>
        <scheme val="minor"/>
      </rPr>
      <t xml:space="preserve"> Manhole__ Structure</t>
    </r>
    <r>
      <rPr>
        <b/>
        <sz val="11"/>
        <color theme="1"/>
        <rFont val="Calibri"/>
        <family val="2"/>
        <scheme val="minor"/>
      </rPr>
      <t xml:space="preserve">               </t>
    </r>
    <r>
      <rPr>
        <b/>
        <sz val="11"/>
        <color rgb="FFFFFF00"/>
        <rFont val="Calibri"/>
        <family val="2"/>
        <scheme val="minor"/>
      </rPr>
      <t xml:space="preserve">Manhole__ Structure   </t>
    </r>
  </si>
  <si>
    <t>MH_position</t>
  </si>
  <si>
    <t>no</t>
  </si>
  <si>
    <t>Do_pipe(mm)</t>
  </si>
  <si>
    <t>Edge beam data</t>
  </si>
  <si>
    <t>Slab(m)
Thickness</t>
  </si>
  <si>
    <t>Fill Slope =1:1.5</t>
  </si>
  <si>
    <t>Df = 1.5m</t>
  </si>
  <si>
    <r>
      <t>wing wall angle = 45</t>
    </r>
    <r>
      <rPr>
        <vertAlign val="superscript"/>
        <sz val="11"/>
        <color theme="1"/>
        <rFont val="Calibri"/>
        <family val="2"/>
        <scheme val="minor"/>
      </rPr>
      <t>o</t>
    </r>
  </si>
  <si>
    <t>Hc</t>
  </si>
  <si>
    <t>Lw</t>
  </si>
  <si>
    <t xml:space="preserve">                              Geometrical Data for Abutment and Wing wall with the following assumptions</t>
  </si>
  <si>
    <t>span Sc (m)</t>
  </si>
  <si>
    <t xml:space="preserve">                           Battering of stone masonary wing wall for slab-culvert at fill</t>
  </si>
  <si>
    <t>Hf &lt;=2m</t>
  </si>
  <si>
    <t>6m &lt; Hf &lt;= 8m</t>
  </si>
  <si>
    <t>4m &lt; Hf &lt;= 6m</t>
  </si>
  <si>
    <t>2m &lt; Hf &lt;= 4m</t>
  </si>
  <si>
    <t xml:space="preserve"> 1-5</t>
  </si>
  <si>
    <t>Y3</t>
  </si>
  <si>
    <t>Y4</t>
  </si>
  <si>
    <t xml:space="preserve">                           Battering of stone masonary Abutment for for slab-culvert at fill</t>
  </si>
  <si>
    <t>Y1</t>
  </si>
  <si>
    <t>Y2</t>
  </si>
  <si>
    <t xml:space="preserve"> 2.1-3</t>
  </si>
  <si>
    <t xml:space="preserve"> 1.0-2</t>
  </si>
  <si>
    <t xml:space="preserve"> 3.1-4</t>
  </si>
  <si>
    <t xml:space="preserve"> 4.1-5</t>
  </si>
  <si>
    <t>Culvert
Opeining</t>
  </si>
  <si>
    <t>Ed_H</t>
  </si>
  <si>
    <t>Ed_W</t>
  </si>
  <si>
    <t>Foundation
thickness</t>
  </si>
  <si>
    <t>Depth
foundat</t>
  </si>
  <si>
    <t>WingW
width</t>
  </si>
  <si>
    <t>Fill-height</t>
  </si>
  <si>
    <t>foundat
edge</t>
  </si>
  <si>
    <t xml:space="preserve">           Wing wall data for Left End Strucuture</t>
  </si>
  <si>
    <t>station</t>
  </si>
  <si>
    <t>Hf</t>
  </si>
  <si>
    <t>span</t>
  </si>
  <si>
    <t>SLABTK</t>
  </si>
  <si>
    <t>98+820</t>
  </si>
  <si>
    <t>&lt;0.6</t>
  </si>
  <si>
    <t>100+429</t>
  </si>
  <si>
    <t>103+417.6</t>
  </si>
  <si>
    <r>
      <t xml:space="preserve">Slab __ Culverts            Slab __ Culverts                      </t>
    </r>
    <r>
      <rPr>
        <b/>
        <sz val="11"/>
        <color rgb="FFFF0000"/>
        <rFont val="Calibri"/>
        <family val="2"/>
        <scheme val="minor"/>
      </rPr>
      <t xml:space="preserve"> Slab __ Culverts </t>
    </r>
    <r>
      <rPr>
        <b/>
        <sz val="11"/>
        <color theme="1"/>
        <rFont val="Calibri"/>
        <family val="2"/>
        <scheme val="minor"/>
      </rPr>
      <t xml:space="preserve">                  </t>
    </r>
    <r>
      <rPr>
        <b/>
        <sz val="11"/>
        <color theme="6"/>
        <rFont val="Calibri"/>
        <family val="2"/>
        <scheme val="minor"/>
      </rPr>
      <t xml:space="preserve"> Slab__ Culverts</t>
    </r>
    <r>
      <rPr>
        <b/>
        <sz val="11"/>
        <color theme="1"/>
        <rFont val="Calibri"/>
        <family val="2"/>
        <scheme val="minor"/>
      </rPr>
      <t xml:space="preserve">               </t>
    </r>
    <r>
      <rPr>
        <b/>
        <sz val="11"/>
        <color rgb="FFFFFF00"/>
        <rFont val="Calibri"/>
        <family val="2"/>
        <scheme val="minor"/>
      </rPr>
      <t xml:space="preserve">Slab__ Culverts   </t>
    </r>
  </si>
  <si>
    <t>**** make sure to adjust the slope</t>
  </si>
  <si>
    <t>Wing_foun</t>
  </si>
</sst>
</file>

<file path=xl/styles.xml><?xml version="1.0" encoding="utf-8"?>
<styleSheet xmlns="http://schemas.openxmlformats.org/spreadsheetml/2006/main">
  <numFmts count="5">
    <numFmt numFmtId="43" formatCode="_(* #,##0.00_);_(* \(#,##0.00\);_(* &quot;-&quot;??_);_(@_)"/>
    <numFmt numFmtId="164" formatCode="&quot;Type &quot;@"/>
    <numFmt numFmtId="165" formatCode="@&quot; (m)&quot;"/>
    <numFmt numFmtId="166" formatCode="@&quot; (mm)&quot;"/>
    <numFmt numFmtId="167" formatCode="0.00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10"/>
      <name val="Tahoma"/>
      <family val="2"/>
    </font>
    <font>
      <sz val="12"/>
      <color theme="1"/>
      <name val="Cambria"/>
      <family val="1"/>
      <scheme val="major"/>
    </font>
    <font>
      <sz val="11"/>
      <color theme="1" tint="4.9989318521683403E-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57">
    <xf numFmtId="0" fontId="0" fillId="0" borderId="0" xfId="0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2" xfId="0" applyFill="1" applyBorder="1"/>
    <xf numFmtId="0" fontId="0" fillId="2" borderId="0" xfId="0" applyFill="1" applyBorder="1"/>
    <xf numFmtId="0" fontId="2" fillId="2" borderId="2" xfId="0" applyFont="1" applyFill="1" applyBorder="1"/>
    <xf numFmtId="164" fontId="1" fillId="3" borderId="1" xfId="0" applyNumberFormat="1" applyFont="1" applyFill="1" applyBorder="1" applyAlignment="1">
      <alignment vertical="center"/>
    </xf>
    <xf numFmtId="0" fontId="1" fillId="3" borderId="1" xfId="0" applyFont="1" applyFill="1" applyBorder="1" applyAlignment="1">
      <alignment vertical="center"/>
    </xf>
    <xf numFmtId="0" fontId="0" fillId="2" borderId="2" xfId="0" applyFill="1" applyBorder="1" applyAlignment="1">
      <alignment horizontal="right"/>
    </xf>
    <xf numFmtId="0" fontId="0" fillId="0" borderId="1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2" fontId="0" fillId="0" borderId="7" xfId="0" applyNumberFormat="1" applyBorder="1"/>
    <xf numFmtId="2" fontId="0" fillId="0" borderId="1" xfId="0" applyNumberFormat="1" applyBorder="1"/>
    <xf numFmtId="2" fontId="0" fillId="0" borderId="8" xfId="0" applyNumberFormat="1" applyBorder="1"/>
    <xf numFmtId="0" fontId="4" fillId="0" borderId="0" xfId="0" applyFont="1" applyBorder="1" applyAlignment="1">
      <alignment horizontal="center" textRotation="90"/>
    </xf>
    <xf numFmtId="0" fontId="0" fillId="0" borderId="0" xfId="0" applyBorder="1"/>
    <xf numFmtId="2" fontId="0" fillId="0" borderId="0" xfId="0" applyNumberFormat="1" applyBorder="1"/>
    <xf numFmtId="0" fontId="0" fillId="6" borderId="1" xfId="0" applyFill="1" applyBorder="1"/>
    <xf numFmtId="0" fontId="0" fillId="6" borderId="8" xfId="0" applyFill="1" applyBorder="1"/>
    <xf numFmtId="0" fontId="0" fillId="7" borderId="1" xfId="0" applyFill="1" applyBorder="1"/>
    <xf numFmtId="0" fontId="0" fillId="7" borderId="6" xfId="0" applyFill="1" applyBorder="1"/>
    <xf numFmtId="0" fontId="0" fillId="0" borderId="6" xfId="0" applyBorder="1"/>
    <xf numFmtId="164" fontId="1" fillId="3" borderId="6" xfId="0" applyNumberFormat="1" applyFont="1" applyFill="1" applyBorder="1" applyAlignment="1">
      <alignment vertical="center"/>
    </xf>
    <xf numFmtId="0" fontId="1" fillId="0" borderId="6" xfId="0" applyFont="1" applyBorder="1"/>
    <xf numFmtId="4" fontId="0" fillId="8" borderId="1" xfId="0" applyNumberFormat="1" applyFill="1" applyBorder="1"/>
    <xf numFmtId="0" fontId="0" fillId="8" borderId="1" xfId="0" applyFill="1" applyBorder="1"/>
    <xf numFmtId="0" fontId="0" fillId="9" borderId="1" xfId="0" applyFill="1" applyBorder="1"/>
    <xf numFmtId="0" fontId="3" fillId="2" borderId="0" xfId="0" applyFont="1" applyFill="1" applyBorder="1"/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/>
    <xf numFmtId="0" fontId="1" fillId="2" borderId="0" xfId="0" applyFont="1" applyFill="1" applyBorder="1" applyAlignment="1">
      <alignment horizontal="right"/>
    </xf>
    <xf numFmtId="0" fontId="2" fillId="2" borderId="0" xfId="0" applyFont="1" applyFill="1" applyBorder="1"/>
    <xf numFmtId="0" fontId="1" fillId="10" borderId="1" xfId="0" applyFont="1" applyFill="1" applyBorder="1" applyAlignment="1">
      <alignment vertical="center"/>
    </xf>
    <xf numFmtId="0" fontId="0" fillId="4" borderId="13" xfId="0" applyFill="1" applyBorder="1" applyAlignment="1"/>
    <xf numFmtId="0" fontId="0" fillId="4" borderId="4" xfId="0" applyFill="1" applyBorder="1" applyAlignment="1"/>
    <xf numFmtId="0" fontId="5" fillId="0" borderId="0" xfId="0" applyFont="1" applyFill="1" applyBorder="1" applyAlignment="1">
      <alignment horizontal="left"/>
    </xf>
    <xf numFmtId="0" fontId="0" fillId="2" borderId="14" xfId="0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0" fillId="4" borderId="15" xfId="0" applyFill="1" applyBorder="1" applyAlignment="1"/>
    <xf numFmtId="0" fontId="0" fillId="2" borderId="15" xfId="0" applyFill="1" applyBorder="1" applyAlignment="1">
      <alignment horizontal="left"/>
    </xf>
    <xf numFmtId="0" fontId="0" fillId="2" borderId="16" xfId="0" applyFill="1" applyBorder="1" applyAlignment="1">
      <alignment horizontal="left"/>
    </xf>
    <xf numFmtId="0" fontId="0" fillId="2" borderId="5" xfId="0" applyFill="1" applyBorder="1" applyAlignment="1">
      <alignment horizontal="right"/>
    </xf>
    <xf numFmtId="0" fontId="0" fillId="2" borderId="14" xfId="0" applyFill="1" applyBorder="1" applyAlignment="1">
      <alignment horizontal="right"/>
    </xf>
    <xf numFmtId="0" fontId="0" fillId="2" borderId="14" xfId="0" applyFill="1" applyBorder="1"/>
    <xf numFmtId="0" fontId="1" fillId="4" borderId="12" xfId="0" applyFont="1" applyFill="1" applyBorder="1" applyAlignment="1"/>
    <xf numFmtId="0" fontId="0" fillId="2" borderId="15" xfId="0" applyFill="1" applyBorder="1"/>
    <xf numFmtId="0" fontId="0" fillId="2" borderId="3" xfId="0" applyFill="1" applyBorder="1"/>
    <xf numFmtId="0" fontId="0" fillId="2" borderId="16" xfId="0" applyFill="1" applyBorder="1"/>
    <xf numFmtId="0" fontId="10" fillId="0" borderId="0" xfId="0" applyFont="1"/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/>
    <xf numFmtId="0" fontId="0" fillId="11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1" xfId="0" applyFill="1" applyBorder="1"/>
    <xf numFmtId="0" fontId="16" fillId="11" borderId="1" xfId="0" applyFont="1" applyFill="1" applyBorder="1" applyAlignment="1">
      <alignment horizontal="center" vertical="center" wrapText="1"/>
    </xf>
    <xf numFmtId="43" fontId="1" fillId="5" borderId="1" xfId="0" applyNumberFormat="1" applyFont="1" applyFill="1" applyBorder="1" applyAlignment="1">
      <alignment vertical="center"/>
    </xf>
    <xf numFmtId="43" fontId="1" fillId="0" borderId="1" xfId="0" applyNumberFormat="1" applyFont="1" applyFill="1" applyBorder="1" applyAlignment="1">
      <alignment vertical="center"/>
    </xf>
    <xf numFmtId="0" fontId="0" fillId="0" borderId="2" xfId="0" applyFill="1" applyBorder="1"/>
    <xf numFmtId="0" fontId="16" fillId="0" borderId="1" xfId="0" applyFont="1" applyFill="1" applyBorder="1" applyAlignment="1">
      <alignment horizontal="center" vertical="center" wrapText="1"/>
    </xf>
    <xf numFmtId="0" fontId="16" fillId="11" borderId="1" xfId="0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vertical="center"/>
    </xf>
    <xf numFmtId="0" fontId="0" fillId="2" borderId="0" xfId="0" applyFill="1" applyBorder="1" applyAlignment="1">
      <alignment horizontal="center"/>
    </xf>
    <xf numFmtId="9" fontId="0" fillId="2" borderId="0" xfId="0" applyNumberFormat="1" applyFill="1" applyBorder="1" applyAlignment="1">
      <alignment horizontal="center"/>
    </xf>
    <xf numFmtId="0" fontId="5" fillId="0" borderId="0" xfId="0" applyFont="1"/>
    <xf numFmtId="0" fontId="0" fillId="2" borderId="17" xfId="0" applyFill="1" applyBorder="1" applyAlignment="1">
      <alignment horizontal="right"/>
    </xf>
    <xf numFmtId="0" fontId="0" fillId="2" borderId="18" xfId="0" applyFill="1" applyBorder="1"/>
    <xf numFmtId="0" fontId="0" fillId="2" borderId="18" xfId="0" applyFill="1" applyBorder="1" applyAlignment="1">
      <alignment horizontal="left"/>
    </xf>
    <xf numFmtId="0" fontId="0" fillId="14" borderId="0" xfId="0" applyFill="1" applyBorder="1"/>
    <xf numFmtId="2" fontId="1" fillId="3" borderId="1" xfId="0" applyNumberFormat="1" applyFont="1" applyFill="1" applyBorder="1" applyAlignment="1">
      <alignment vertical="center"/>
    </xf>
    <xf numFmtId="0" fontId="0" fillId="4" borderId="18" xfId="0" applyFill="1" applyBorder="1" applyAlignment="1"/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/>
    <xf numFmtId="0" fontId="1" fillId="2" borderId="1" xfId="0" applyFont="1" applyFill="1" applyBorder="1" applyAlignment="1">
      <alignment vertical="center"/>
    </xf>
    <xf numFmtId="0" fontId="0" fillId="2" borderId="12" xfId="0" applyFill="1" applyBorder="1"/>
    <xf numFmtId="0" fontId="0" fillId="2" borderId="4" xfId="0" applyFill="1" applyBorder="1"/>
    <xf numFmtId="0" fontId="11" fillId="2" borderId="1" xfId="0" applyFont="1" applyFill="1" applyBorder="1" applyAlignment="1">
      <alignment horizontal="left"/>
    </xf>
    <xf numFmtId="0" fontId="0" fillId="2" borderId="1" xfId="0" applyFill="1" applyBorder="1"/>
    <xf numFmtId="0" fontId="10" fillId="2" borderId="1" xfId="0" applyFont="1" applyFill="1" applyBorder="1" applyAlignment="1">
      <alignment horizontal="left"/>
    </xf>
    <xf numFmtId="0" fontId="10" fillId="2" borderId="1" xfId="0" applyFont="1" applyFill="1" applyBorder="1"/>
    <xf numFmtId="0" fontId="10" fillId="2" borderId="0" xfId="0" applyFont="1" applyFill="1"/>
    <xf numFmtId="0" fontId="0" fillId="2" borderId="6" xfId="0" applyFill="1" applyBorder="1"/>
    <xf numFmtId="0" fontId="0" fillId="2" borderId="0" xfId="0" applyFill="1" applyBorder="1" applyAlignment="1"/>
    <xf numFmtId="0" fontId="0" fillId="11" borderId="1" xfId="0" applyFill="1" applyBorder="1" applyAlignment="1">
      <alignment horizontal="center"/>
    </xf>
    <xf numFmtId="0" fontId="0" fillId="2" borderId="13" xfId="0" applyFill="1" applyBorder="1" applyAlignment="1">
      <alignment horizontal="left"/>
    </xf>
    <xf numFmtId="0" fontId="0" fillId="2" borderId="13" xfId="0" applyFill="1" applyBorder="1"/>
    <xf numFmtId="2" fontId="0" fillId="2" borderId="1" xfId="0" applyNumberFormat="1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  <xf numFmtId="0" fontId="0" fillId="11" borderId="12" xfId="0" applyFill="1" applyBorder="1"/>
    <xf numFmtId="0" fontId="0" fillId="11" borderId="13" xfId="0" applyFill="1" applyBorder="1" applyAlignment="1">
      <alignment horizontal="left"/>
    </xf>
    <xf numFmtId="0" fontId="0" fillId="11" borderId="13" xfId="0" applyFill="1" applyBorder="1"/>
    <xf numFmtId="0" fontId="0" fillId="11" borderId="15" xfId="0" applyFill="1" applyBorder="1" applyAlignment="1">
      <alignment horizontal="left"/>
    </xf>
    <xf numFmtId="0" fontId="0" fillId="11" borderId="12" xfId="0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4" xfId="0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left"/>
    </xf>
    <xf numFmtId="167" fontId="0" fillId="2" borderId="1" xfId="0" applyNumberFormat="1" applyFill="1" applyBorder="1" applyAlignment="1">
      <alignment horizontal="center"/>
    </xf>
    <xf numFmtId="0" fontId="1" fillId="10" borderId="1" xfId="0" applyFont="1" applyFill="1" applyBorder="1" applyAlignment="1" applyProtection="1">
      <alignment vertical="center"/>
      <protection locked="0"/>
    </xf>
    <xf numFmtId="2" fontId="0" fillId="2" borderId="0" xfId="0" applyNumberFormat="1" applyFill="1" applyBorder="1" applyAlignment="1"/>
    <xf numFmtId="2" fontId="0" fillId="5" borderId="1" xfId="0" applyNumberForma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7" xfId="0" applyFill="1" applyBorder="1"/>
    <xf numFmtId="0" fontId="0" fillId="2" borderId="1" xfId="0" applyFill="1" applyBorder="1" applyAlignment="1">
      <alignment horizontal="center"/>
    </xf>
    <xf numFmtId="0" fontId="0" fillId="8" borderId="12" xfId="0" applyFill="1" applyBorder="1"/>
    <xf numFmtId="0" fontId="0" fillId="8" borderId="1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2" borderId="3" xfId="0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7" xfId="0" applyFont="1" applyBorder="1" applyAlignment="1">
      <alignment horizontal="center" textRotation="90"/>
    </xf>
    <xf numFmtId="0" fontId="4" fillId="0" borderId="1" xfId="0" applyFont="1" applyBorder="1" applyAlignment="1">
      <alignment horizontal="center" textRotation="90"/>
    </xf>
    <xf numFmtId="0" fontId="4" fillId="0" borderId="8" xfId="0" applyFont="1" applyBorder="1" applyAlignment="1">
      <alignment horizontal="center" textRotation="90"/>
    </xf>
    <xf numFmtId="0" fontId="4" fillId="0" borderId="6" xfId="0" applyFont="1" applyBorder="1" applyAlignment="1">
      <alignment horizontal="center" textRotation="90"/>
    </xf>
    <xf numFmtId="0" fontId="0" fillId="5" borderId="1" xfId="0" applyFill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6" fontId="0" fillId="0" borderId="7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4" fillId="0" borderId="4" xfId="0" applyFont="1" applyBorder="1" applyAlignment="1">
      <alignment horizontal="center" textRotation="90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5" fillId="13" borderId="1" xfId="0" applyFont="1" applyFill="1" applyBorder="1" applyAlignment="1">
      <alignment horizontal="center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16" fillId="4" borderId="4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/>
    </xf>
    <xf numFmtId="0" fontId="15" fillId="0" borderId="13" xfId="0" applyFont="1" applyFill="1" applyBorder="1" applyAlignment="1">
      <alignment horizontal="center"/>
    </xf>
    <xf numFmtId="0" fontId="15" fillId="0" borderId="4" xfId="0" applyFont="1" applyFill="1" applyBorder="1" applyAlignment="1">
      <alignment horizontal="center"/>
    </xf>
    <xf numFmtId="0" fontId="15" fillId="4" borderId="13" xfId="0" applyFont="1" applyFill="1" applyBorder="1" applyAlignment="1">
      <alignment horizontal="center"/>
    </xf>
    <xf numFmtId="0" fontId="15" fillId="4" borderId="4" xfId="0" applyFont="1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0" fontId="0" fillId="2" borderId="1" xfId="0" applyFill="1" applyBorder="1" applyAlignment="1">
      <alignment horizontal="center" textRotation="90"/>
    </xf>
    <xf numFmtId="0" fontId="0" fillId="11" borderId="12" xfId="0" applyFill="1" applyBorder="1" applyAlignment="1">
      <alignment horizontal="center" wrapText="1"/>
    </xf>
    <xf numFmtId="0" fontId="0" fillId="11" borderId="12" xfId="0" applyFill="1" applyBorder="1" applyAlignment="1">
      <alignment horizontal="center"/>
    </xf>
    <xf numFmtId="0" fontId="0" fillId="2" borderId="4" xfId="0" applyFill="1" applyBorder="1" applyAlignment="1">
      <alignment horizontal="center" wrapText="1"/>
    </xf>
    <xf numFmtId="0" fontId="0" fillId="5" borderId="1" xfId="0" applyFill="1" applyBorder="1" applyAlignment="1">
      <alignment horizontal="center" wrapText="1"/>
    </xf>
    <xf numFmtId="0" fontId="0" fillId="12" borderId="1" xfId="0" applyFill="1" applyBorder="1" applyAlignment="1">
      <alignment horizontal="center"/>
    </xf>
    <xf numFmtId="0" fontId="0" fillId="11" borderId="1" xfId="0" applyFill="1" applyBorder="1" applyAlignment="1">
      <alignment horizontal="center" wrapText="1"/>
    </xf>
    <xf numFmtId="0" fontId="0" fillId="11" borderId="1" xfId="0" applyFill="1" applyBorder="1" applyAlignment="1">
      <alignment horizontal="center"/>
    </xf>
    <xf numFmtId="0" fontId="0" fillId="2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5" tint="0.39997558519241921"/>
  </sheetPr>
  <dimension ref="A1:P99"/>
  <sheetViews>
    <sheetView topLeftCell="A13" zoomScale="90" zoomScaleNormal="90" workbookViewId="0">
      <selection activeCell="D19" sqref="D19"/>
    </sheetView>
  </sheetViews>
  <sheetFormatPr defaultRowHeight="15"/>
  <cols>
    <col min="1" max="1" width="6.85546875" customWidth="1"/>
    <col min="2" max="2" width="11.140625" customWidth="1"/>
    <col min="3" max="3" width="8.5703125" customWidth="1"/>
    <col min="4" max="4" width="10.7109375" customWidth="1"/>
    <col min="7" max="7" width="12.42578125" customWidth="1"/>
    <col min="8" max="8" width="5" customWidth="1"/>
    <col min="11" max="11" width="9" customWidth="1"/>
    <col min="12" max="12" width="14.28515625" bestFit="1" customWidth="1"/>
    <col min="16" max="16" width="14.28515625" bestFit="1" customWidth="1"/>
  </cols>
  <sheetData>
    <row r="1" spans="1:16">
      <c r="A1" s="47" t="s">
        <v>37</v>
      </c>
      <c r="B1" s="36"/>
      <c r="C1" s="36"/>
      <c r="D1" s="36"/>
      <c r="E1" s="36"/>
      <c r="F1" s="36"/>
      <c r="G1" s="36"/>
      <c r="H1" s="36"/>
      <c r="I1" s="36"/>
      <c r="J1" s="37"/>
    </row>
    <row r="2" spans="1:16">
      <c r="A2" s="6">
        <v>17</v>
      </c>
      <c r="B2" s="34">
        <f>D4-0.01</f>
        <v>-1.01</v>
      </c>
      <c r="C2" s="34" t="str">
        <f ca="1">CHAR(RANDBETWEEN(65, 91)) &amp; CHAR(RANDBETWEEN(97, 122)) &amp; CHAR(RANDBETWEEN(65, 91)) &amp; CHAR(RANDBETWEEN(65, 91)) &amp; CHAR(RANDBETWEEN(97, 122))</f>
        <v>CnFEi</v>
      </c>
      <c r="D2" s="5"/>
      <c r="E2" s="5"/>
      <c r="F2" s="5"/>
      <c r="G2" s="5"/>
      <c r="H2" s="5"/>
      <c r="I2" s="30"/>
      <c r="J2" s="40" t="str">
        <f ca="1">CHAR(RANDBETWEEN(97,122))&amp;CHAR(RANDBETWEEN(65,90))&amp;CHAR(RANDBETWEEN(97,122))&amp;CHAR(RANDBETWEEN(65,90))</f>
        <v>qOuT</v>
      </c>
      <c r="O2" s="38" t="s">
        <v>35</v>
      </c>
      <c r="P2" s="38" t="s">
        <v>44</v>
      </c>
    </row>
    <row r="3" spans="1:16">
      <c r="A3" s="4"/>
      <c r="B3" s="32" t="s">
        <v>4</v>
      </c>
      <c r="C3" s="5"/>
      <c r="D3" s="32" t="s">
        <v>1</v>
      </c>
      <c r="E3" s="5"/>
      <c r="F3" s="2"/>
      <c r="G3" s="2"/>
      <c r="H3" s="2"/>
      <c r="I3" s="2"/>
      <c r="J3" s="3"/>
      <c r="O3" s="38">
        <v>910</v>
      </c>
      <c r="P3" s="38">
        <v>0.08</v>
      </c>
    </row>
    <row r="4" spans="1:16">
      <c r="A4" s="4"/>
      <c r="B4" s="8">
        <v>1060</v>
      </c>
      <c r="C4" s="1" t="s">
        <v>0</v>
      </c>
      <c r="D4">
        <v>-1</v>
      </c>
      <c r="E4" s="5"/>
      <c r="F4" s="2"/>
      <c r="G4" s="2"/>
      <c r="H4" s="2"/>
      <c r="I4" s="2"/>
      <c r="J4" s="3"/>
      <c r="O4" s="38">
        <v>1060</v>
      </c>
      <c r="P4" s="38">
        <v>0.09</v>
      </c>
    </row>
    <row r="5" spans="1:16">
      <c r="A5" s="9"/>
      <c r="B5" s="5"/>
      <c r="C5" s="5"/>
      <c r="D5" s="2"/>
      <c r="E5" s="5"/>
      <c r="F5" s="2"/>
      <c r="G5" s="2"/>
      <c r="H5" s="2"/>
      <c r="I5" s="52" t="s">
        <v>34</v>
      </c>
      <c r="J5" s="52" t="s">
        <v>32</v>
      </c>
      <c r="O5" s="38">
        <v>1220</v>
      </c>
      <c r="P5" s="38">
        <v>0.1</v>
      </c>
    </row>
    <row r="6" spans="1:16">
      <c r="A6" s="9"/>
      <c r="B6" s="33" t="s">
        <v>33</v>
      </c>
      <c r="C6" s="8">
        <v>1</v>
      </c>
      <c r="D6" s="5"/>
      <c r="E6" s="5"/>
      <c r="F6" s="2"/>
      <c r="G6" s="2"/>
      <c r="H6" s="2"/>
      <c r="I6" s="35">
        <f>VLOOKUP(B4,O3:P5,2)</f>
        <v>0.09</v>
      </c>
      <c r="J6" s="102">
        <v>1</v>
      </c>
    </row>
    <row r="7" spans="1:16">
      <c r="A7" s="9"/>
      <c r="B7" s="32" t="s">
        <v>2</v>
      </c>
      <c r="C7" s="32"/>
      <c r="D7" s="7" t="s">
        <v>53</v>
      </c>
      <c r="E7" s="32" t="s">
        <v>3</v>
      </c>
      <c r="F7" s="31"/>
      <c r="G7" s="7" t="s">
        <v>54</v>
      </c>
      <c r="H7" s="2"/>
      <c r="I7" s="2"/>
      <c r="J7" s="3"/>
    </row>
    <row r="8" spans="1:16">
      <c r="A8" s="9"/>
      <c r="B8" s="32"/>
      <c r="C8" s="32"/>
      <c r="D8" s="32"/>
      <c r="E8" s="32"/>
      <c r="F8" s="32"/>
      <c r="G8" s="32"/>
      <c r="H8" s="2"/>
      <c r="I8" s="2"/>
      <c r="J8" s="3"/>
    </row>
    <row r="9" spans="1:16">
      <c r="A9" s="9"/>
      <c r="B9" s="32"/>
      <c r="C9" s="32"/>
      <c r="D9" s="32"/>
      <c r="E9" s="32"/>
      <c r="F9" s="32"/>
      <c r="G9" s="32"/>
      <c r="H9" s="2"/>
      <c r="I9" s="2"/>
      <c r="J9" s="3"/>
    </row>
    <row r="10" spans="1:16">
      <c r="A10" s="9"/>
      <c r="B10" s="5"/>
      <c r="C10" s="5"/>
      <c r="D10" s="5"/>
      <c r="E10" s="5"/>
      <c r="F10" s="2"/>
      <c r="G10" s="2"/>
      <c r="H10" s="2"/>
      <c r="I10" s="2"/>
      <c r="J10" s="3"/>
    </row>
    <row r="11" spans="1:16">
      <c r="A11" s="47" t="s">
        <v>51</v>
      </c>
      <c r="B11" s="36"/>
      <c r="C11" s="36"/>
      <c r="D11" s="36"/>
      <c r="E11" s="36"/>
      <c r="F11" s="36"/>
      <c r="G11" s="36"/>
      <c r="H11" s="36"/>
      <c r="I11" s="36"/>
      <c r="J11" s="41"/>
    </row>
    <row r="12" spans="1:16">
      <c r="A12" s="9"/>
      <c r="B12" s="1"/>
      <c r="C12" s="5"/>
      <c r="D12" s="2"/>
      <c r="E12" s="48"/>
      <c r="F12" s="2"/>
      <c r="G12" s="2"/>
      <c r="H12" s="2"/>
      <c r="I12" s="2"/>
      <c r="J12" s="42"/>
    </row>
    <row r="13" spans="1:16">
      <c r="A13" s="9"/>
      <c r="B13" s="1"/>
      <c r="C13" s="5"/>
      <c r="D13" s="2"/>
      <c r="E13" s="49"/>
      <c r="F13" s="2"/>
      <c r="G13" s="2"/>
      <c r="H13" s="2"/>
      <c r="I13" s="2"/>
      <c r="J13" s="3"/>
    </row>
    <row r="14" spans="1:16">
      <c r="A14" s="9"/>
      <c r="B14" s="1"/>
      <c r="C14" s="5"/>
      <c r="D14" s="2"/>
      <c r="E14" s="49"/>
      <c r="F14" s="2"/>
      <c r="G14" s="2"/>
      <c r="H14" s="2"/>
      <c r="I14" s="2"/>
      <c r="J14" s="3"/>
    </row>
    <row r="15" spans="1:16">
      <c r="A15" s="9"/>
      <c r="B15" s="1"/>
      <c r="C15" s="5"/>
      <c r="D15" s="2"/>
      <c r="E15" s="49"/>
      <c r="F15" s="2"/>
      <c r="G15" s="2"/>
      <c r="H15" s="2"/>
      <c r="I15" s="2"/>
      <c r="J15" s="3"/>
    </row>
    <row r="16" spans="1:16">
      <c r="A16" s="9"/>
      <c r="B16" s="1"/>
      <c r="C16" s="5"/>
      <c r="D16" s="2"/>
      <c r="E16" s="50"/>
      <c r="F16" s="2"/>
      <c r="G16" s="2"/>
      <c r="H16" s="2"/>
      <c r="I16" s="2"/>
      <c r="J16" s="43"/>
    </row>
    <row r="17" spans="1:10">
      <c r="A17" s="47" t="s">
        <v>52</v>
      </c>
      <c r="B17" s="36"/>
      <c r="C17" s="36"/>
      <c r="D17" s="36"/>
      <c r="E17" s="36"/>
      <c r="F17" s="36"/>
      <c r="G17" s="36"/>
      <c r="H17" s="36"/>
      <c r="I17" s="36"/>
      <c r="J17" s="41"/>
    </row>
    <row r="18" spans="1:10">
      <c r="A18" s="9"/>
      <c r="B18" s="1"/>
      <c r="C18" s="5"/>
      <c r="D18" s="2"/>
      <c r="E18" s="48"/>
      <c r="F18" s="2"/>
      <c r="G18" s="2"/>
      <c r="H18" s="2"/>
      <c r="I18" s="2"/>
      <c r="J18" s="42"/>
    </row>
    <row r="19" spans="1:10">
      <c r="A19" s="9"/>
      <c r="B19" s="1"/>
      <c r="C19" s="5"/>
      <c r="D19" s="2"/>
      <c r="E19" s="49"/>
      <c r="F19" s="2"/>
      <c r="G19" s="2"/>
      <c r="H19" s="2"/>
      <c r="I19" s="2"/>
      <c r="J19" s="3"/>
    </row>
    <row r="20" spans="1:10">
      <c r="A20" s="9"/>
      <c r="B20" s="1"/>
      <c r="C20" s="5"/>
      <c r="D20" s="2"/>
      <c r="E20" s="49"/>
      <c r="F20" s="2"/>
      <c r="G20" s="2"/>
      <c r="H20" s="2"/>
      <c r="I20" s="2"/>
      <c r="J20" s="3"/>
    </row>
    <row r="21" spans="1:10">
      <c r="A21" s="9"/>
      <c r="B21" s="1"/>
      <c r="C21" s="5"/>
      <c r="D21" s="2"/>
      <c r="E21" s="49"/>
      <c r="F21" s="2"/>
      <c r="G21" s="2"/>
      <c r="H21" s="2"/>
      <c r="I21" s="2"/>
      <c r="J21" s="3"/>
    </row>
    <row r="22" spans="1:10">
      <c r="A22" s="9"/>
      <c r="B22" s="1"/>
      <c r="C22" s="5"/>
      <c r="D22" s="2"/>
      <c r="E22" s="50"/>
      <c r="F22" s="2"/>
      <c r="G22" s="2"/>
      <c r="H22" s="2"/>
      <c r="I22" s="2"/>
      <c r="J22" s="43"/>
    </row>
    <row r="23" spans="1:10">
      <c r="A23" s="47" t="s">
        <v>38</v>
      </c>
      <c r="B23" s="36"/>
      <c r="C23" s="36"/>
      <c r="D23" s="36"/>
      <c r="E23" s="36"/>
      <c r="F23" s="36"/>
      <c r="G23" s="36"/>
      <c r="H23" s="36"/>
      <c r="I23" s="36"/>
      <c r="J23" s="37"/>
    </row>
    <row r="99" spans="2:2">
      <c r="B99">
        <v>-1</v>
      </c>
    </row>
  </sheetData>
  <sheetProtection formatCells="0" formatColumns="0" formatRows="0" insertColumns="0" insertRows="0" insertHyperlinks="0" deleteColumns="0" deleteRows="0" sort="0" autoFilter="0" pivotTables="0"/>
  <customSheetViews>
    <customSheetView guid="{A4DA0C6D-D584-455D-A4B7-603EE27383F6}" scale="113">
      <selection sqref="A1:J22"/>
      <pageMargins left="0.7" right="0.7" top="0.75" bottom="0.75" header="0.3" footer="0.3"/>
      <pageSetup orientation="portrait" r:id="rId1"/>
    </customSheetView>
  </customSheetViews>
  <dataValidations count="4">
    <dataValidation type="list" allowBlank="1" showInputMessage="1" showErrorMessage="1" sqref="G7 D7">
      <formula1>"C,A_Inlet,A,B"</formula1>
    </dataValidation>
    <dataValidation type="list" allowBlank="1" showInputMessage="1" showErrorMessage="1" sqref="B4">
      <formula1>"910,1060,1220"</formula1>
    </dataValidation>
    <dataValidation allowBlank="1" showInputMessage="1" showErrorMessage="1" sqref="D8:G9"/>
    <dataValidation type="list" allowBlank="1" showInputMessage="1" showErrorMessage="1" sqref="J6">
      <formula1>"1,2,3,4"</formula1>
    </dataValidation>
  </dataValidations>
  <pageMargins left="0.7" right="0.7" top="0.75" bottom="0.75" header="0.3" footer="0.3"/>
  <pageSetup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theme="4" tint="0.59999389629810485"/>
  </sheetPr>
  <dimension ref="A1:S94"/>
  <sheetViews>
    <sheetView zoomScaleNormal="90" workbookViewId="0">
      <selection activeCell="E6" sqref="E6"/>
    </sheetView>
  </sheetViews>
  <sheetFormatPr defaultRowHeight="15"/>
  <cols>
    <col min="4" max="4" width="8.5703125" bestFit="1" customWidth="1"/>
    <col min="5" max="5" width="8.7109375" customWidth="1"/>
    <col min="10" max="10" width="6.5703125" customWidth="1"/>
    <col min="11" max="11" width="7.140625" customWidth="1"/>
    <col min="13" max="13" width="7.7109375" customWidth="1"/>
  </cols>
  <sheetData>
    <row r="1" spans="1:19">
      <c r="H1">
        <f>COLUMNS($B1:H$7)+1</f>
        <v>8</v>
      </c>
    </row>
    <row r="2" spans="1:19">
      <c r="C2" s="22" t="s">
        <v>29</v>
      </c>
      <c r="D2" s="22" t="s">
        <v>31</v>
      </c>
      <c r="E2" s="22" t="s">
        <v>30</v>
      </c>
      <c r="F2" s="22" t="s">
        <v>32</v>
      </c>
    </row>
    <row r="3" spans="1:19">
      <c r="C3" s="24">
        <f>main!B4</f>
        <v>1060</v>
      </c>
      <c r="D3" s="25" t="str">
        <f>main!D7</f>
        <v>C</v>
      </c>
      <c r="E3" s="25" t="str">
        <f>main!G7</f>
        <v>A_Inlet</v>
      </c>
      <c r="F3" s="26">
        <f>main!J6</f>
        <v>1</v>
      </c>
    </row>
    <row r="4" spans="1:19">
      <c r="B4" s="23" t="s">
        <v>31</v>
      </c>
      <c r="C4" s="10" t="s">
        <v>10</v>
      </c>
      <c r="D4" s="10">
        <v>0.5</v>
      </c>
      <c r="E4" s="10" t="s">
        <v>10</v>
      </c>
      <c r="F4" s="10" t="s">
        <v>10</v>
      </c>
      <c r="G4" s="10" t="s">
        <v>10</v>
      </c>
      <c r="H4" s="10" t="s">
        <v>10</v>
      </c>
      <c r="I4" s="10" t="s">
        <v>10</v>
      </c>
      <c r="J4" s="10" t="s">
        <v>10</v>
      </c>
      <c r="K4" s="10" t="s">
        <v>10</v>
      </c>
      <c r="L4" s="10" t="s">
        <v>10</v>
      </c>
      <c r="M4" s="10" t="s">
        <v>10</v>
      </c>
      <c r="N4" s="10" t="s">
        <v>10</v>
      </c>
      <c r="O4" s="10" t="s">
        <v>10</v>
      </c>
    </row>
    <row r="5" spans="1:19">
      <c r="B5" s="27" t="str">
        <f>IFERROR(IF($D$3="C",INDEX(c_title,1,COLUMNS($B$7:B7)),IF($D$3="A",INDEX(a_title,1,COLUMNS($B$7:B7)),IF($D$3="B",INDEX(b_title,1,COLUMNS($B$7:B7)),IF($D$3="A_Inlet",INDEX(ai_title,1,COLUMNS($B$7:B7)))))),"")</f>
        <v>Di</v>
      </c>
      <c r="C5" s="28" t="str">
        <f>IFERROR(IF($D$3="C",INDEX(c_title,1,COLUMNS($B$7:C7)),IF($D$3="A",INDEX(a_title,1,COLUMNS($B$7:C7)),IF($D$3="B",INDEX(b_title,1,COLUMNS($B$7:C7)),IF($D$3="A_Inlet",INDEX(ai_title,1,COLUMNS($B$7:C7)))))),"")</f>
        <v>t</v>
      </c>
      <c r="D5" s="28" t="str">
        <f>IFERROR(IF($D$3="C",INDEX(c_title,1,COLUMNS($B$7:D7)),IF($D$3="A",INDEX(a_title,1,COLUMNS($B$7:D7)),IF($D$3="B",INDEX(b_title,1,COLUMNS($B$7:D7)),IF($D$3="A_Inlet",INDEX(ai_title,1,COLUMNS($B$7:D7)))))),"")</f>
        <v>Do</v>
      </c>
      <c r="E5" s="28" t="str">
        <f>IFERROR(IF($D$3="C",INDEX(c_title,1,COLUMNS($B$7:E7)),IF($D$3="A",INDEX(a_title,1,COLUMNS($B$7:E7)),IF($D$3="B",INDEX(b_title,1,COLUMNS($B$7:E7)),IF($D$3="A_Inlet",INDEX(ai_title,1,COLUMNS($B$7:E7)))))),"")</f>
        <v>L1</v>
      </c>
      <c r="F5" s="28" t="str">
        <f>IFERROR(IF($D$3="C",INDEX(c_title,1,COLUMNS($B$7:F7)),IF($D$3="A",INDEX(a_title,1,COLUMNS($B$7:F7)),IF($D$3="B",INDEX(b_title,1,COLUMNS($B$7:F7)),IF($D$3="A_Inlet",INDEX(ai_title,1,COLUMNS($B$7:F7)))))),"")</f>
        <v>L2</v>
      </c>
      <c r="G5" s="28" t="str">
        <f>IFERROR(IF($D$3="C",INDEX(c_title,1,COLUMNS($B$7:G7)),IF($D$3="A",INDEX(a_title,1,COLUMNS($B$7:G7)),IF($D$3="B",INDEX(b_title,1,COLUMNS($B$7:G7)),IF($D$3="A_Inlet",INDEX(ai_title,1,COLUMNS($B$7:G7)))))),"")</f>
        <v>L3</v>
      </c>
      <c r="H5" s="28" t="str">
        <f>IFERROR(IF($D$3="C",INDEX(c_title,1,COLUMNS($B$7:H7)),IF($D$3="A",INDEX(a_title,1,COLUMNS($B$7:H7)),IF($D$3="B",INDEX(b_title,1,COLUMNS($B$7:H7)),IF($D$3="A_Inlet",INDEX(ai_title,1,COLUMNS($B$7:H7)))))),"")</f>
        <v>W1</v>
      </c>
      <c r="I5" s="28" t="str">
        <f>IFERROR(IF($D$3="C",INDEX(c_title,1,COLUMNS($B$7:I7)),IF($D$3="A",INDEX(a_title,1,COLUMNS($B$7:I7)),IF($D$3="B",INDEX(b_title,1,COLUMNS($B$7:I7)),IF($D$3="A_Inlet",INDEX(ai_title,1,COLUMNS($B$7:I7)))))),"")</f>
        <v>H1</v>
      </c>
      <c r="J5" s="28" t="str">
        <f>IFERROR(IF($D$3="C",INDEX(c_title,1,COLUMNS($B$7:J7)),IF($D$3="A",INDEX(a_title,1,COLUMNS($B$7:J7)),IF($D$3="B",INDEX(b_title,1,COLUMNS($B$7:J7)),IF($D$3="A_Inlet",INDEX(ai_title,1,COLUMNS($B$7:J7)))))),"")</f>
        <v>H2</v>
      </c>
      <c r="K5" s="28" t="str">
        <f>IFERROR(IF($D$3="C",INDEX(c_title,1,COLUMNS($B$7:K7)),IF($D$3="A",INDEX(a_title,1,COLUMNS($B$7:K7)),IF($D$3="B",INDEX(b_title,1,COLUMNS($B$7:K7)),IF($D$3="A_Inlet",INDEX(ai_title,1,COLUMNS($B$7:K7)))))),"")</f>
        <v>B1</v>
      </c>
      <c r="L5" s="28" t="str">
        <f>IFERROR(IF($D$3="C",INDEX(c_title,1,COLUMNS($B$7:L7)),IF($D$3="A",INDEX(a_title,1,COLUMNS($B$7:L7)),IF($D$3="B",INDEX(b_title,1,COLUMNS($B$7:L7)),IF($D$3="A_Inlet",INDEX(ai_title,1,COLUMNS($B$7:L7)))))),"")</f>
        <v>B2</v>
      </c>
      <c r="M5" s="28" t="str">
        <f>IFERROR(IF($D$3="C",INDEX(c_title,1,COLUMNS($B$7:M7)),IF($D$3="A",INDEX(a_title,1,COLUMNS($B$7:M7)),IF($D$3="B",INDEX(b_title,1,COLUMNS($B$7:M7)),IF($D$3="A_Inlet",INDEX(ai_title,1,COLUMNS($B$7:M7)))))),"")</f>
        <v/>
      </c>
      <c r="N5" s="28" t="str">
        <f>IFERROR(IF($D$3="C",INDEX(c_title,1,COLUMNS($B$7:N7)),IF($D$3="A",INDEX(a_title,1,COLUMNS($B$7:N7)),IF($D$3="B",INDEX(b_title,1,COLUMNS($B$7:N7)),IF($D$3="A_Inlet",INDEX(ai_title,1,COLUMNS($B$7:N7)))))),"")</f>
        <v/>
      </c>
      <c r="O5" s="28" t="str">
        <f>IFERROR(IF($D$3="C",INDEX(c_title,1,COLUMNS($B$7:O7)),IF($D$3="A",INDEX(a_title,1,COLUMNS($B$7:O7)),IF($D$3="B",INDEX(b_title,1,COLUMNS($B$7:O7)),IF($D$3="A_Inlet",INDEX(ai_title,1,COLUMNS($B$7:O7)))))),"")</f>
        <v/>
      </c>
      <c r="P5" t="str">
        <f>IFERROR(IF($D$3="C",INDEX(c_title,1,COLUMNS($B$7:P7)),IF($D$3="A",INDEX(a_title,1,COLUMNS($B$7:P7)),IF($D$3="B",INDEX(b_title,1,COLUMNS($B$7:P7)),IF($D$3="A_Inlet",INDEX(ai_title,1,COLUMNS($B$7:P7)))))),"")</f>
        <v/>
      </c>
      <c r="Q5" t="str">
        <f>IFERROR(IF($D$3="C",INDEX(c_title,1,COLUMNS($B$7:Q7)),IF($D$3="A",INDEX(a_title,1,COLUMNS($B$7:Q7)),IF($D$3="B",INDEX(b_title,1,COLUMNS($B$7:Q7)),IF($D$3="A_Inlet",INDEX(ai_title,1,COLUMNS($B$7:Q7)))))),"")</f>
        <v/>
      </c>
      <c r="R5" t="str">
        <f>IFERROR(IF($D$3="C",INDEX(c_title,1,COLUMNS($B$7:R7)),IF($D$3="A",INDEX(a_title,1,COLUMNS($B$7:R7)),IF($D$3="B",INDEX(b_title,1,COLUMNS($B$7:R7)),IF($D$3="A_Inlet",INDEX(ai_title,1,COLUMNS($B$7:R7)))))),"")</f>
        <v/>
      </c>
      <c r="S5" t="str">
        <f>IFERROR(IF($D$3="C",INDEX(c_title,1,COLUMNS($B$7:S7)),IF($D$3="A",INDEX(a_title,1,COLUMNS($B$7:S7)),IF($D$3="B",INDEX(b_title,1,COLUMNS($B$7:S7)),IF($D$3="A_Inlet",INDEX(ai_title,1,COLUMNS($B$7:S7)))))),"")</f>
        <v/>
      </c>
    </row>
    <row r="6" spans="1:19">
      <c r="B6" s="29">
        <f>IFERROR(IF($D$3="C",IF($F$3=1,VLOOKUP($C$3,c_single,COLUMNS($B$7:B7)),IF($F$3=2,VLOOKUP($C$3,c_double,COLUMNS($B$7:B7)),IF($F$3=3,VLOOKUP($C$3,c_triple,COLUMNS($B$7:B7))))),IF($D$3="B",IF($F$3=1,VLOOKUP($C$3,b_single,COLUMNS($B$7:B7)),IF($F$3=2,VLOOKUP($C$3,b_double,COLUMNS($B$7:B7)),IF($F$3=3,VLOOKUP($C$3,b_triple,COLUMNS($B$7:B7))))),IF($D$3="A_Inlet",IF($F$3=1,VLOOKUP($C$3,ai_single,COLUMNS($B$7:B7)),IF($F$3=2,VLOOKUP($C$3,ai_double,COLUMNS($B$7:B7)),IF($F$3=3,VLOOKUP($C$3,ai_triple,COLUMNS($B$7:B7))))),IF($D$3="A",IF($F$3=1,VLOOKUP($C$3,a_single,COLUMNS($B$7:B7)),IF($F$3=2,VLOOKUP($C$3,a_double,COLUMNS($B$7:B7)),IF($F$3=3,VLOOKUP($C$3,a_triple,COLUMNS($B$7:B7))))))))),"")</f>
        <v>1060</v>
      </c>
      <c r="C6" s="29">
        <f>IFERROR(IF($D$3="C",IF($F$3=1,VLOOKUP($C$3,c_single,COLUMNS($B$7:C7)),IF($F$3=2,VLOOKUP($C$3,c_double,COLUMNS($B$7:C7)),IF($F$3=3,VLOOKUP($C$3,c_triple,COLUMNS($B$7:C7))))),IF($D$3="B",IF($F$3=1,VLOOKUP($C$3,b_single,COLUMNS($B$7:C7)),IF($F$3=2,VLOOKUP($C$3,b_double,COLUMNS($B$7:C7)),IF($F$3=3,VLOOKUP($C$3,b_triple,COLUMNS($B$7:C7))))),IF($D$3="A_Inlet",IF($F$3=1,VLOOKUP($C$3,ai_single,COLUMNS($B$7:C7)),IF($F$3=2,VLOOKUP($C$3,ai_double,COLUMNS($B$7:C7)),IF($F$3=3,VLOOKUP($C$3,ai_triple,COLUMNS($B$7:C7))))),IF($D$3="A",IF($F$3=1,VLOOKUP($C$3,a_single,COLUMNS($B$7:C7)),IF($F$3=2,VLOOKUP($C$3,a_double,COLUMNS($B$7:C7)),IF($F$3=3,VLOOKUP($C$3,a_triple,COLUMNS($B$7:C7))))))))),"")</f>
        <v>0.09</v>
      </c>
      <c r="D6" s="29">
        <f>IFERROR(IF($D$3="C",IF($F$3=1,VLOOKUP($C$3,c_single,COLUMNS($B$7:D7)),IF($F$3=2,VLOOKUP($C$3,c_double,COLUMNS($B$7:D7)),IF($F$3=3,VLOOKUP($C$3,c_triple,COLUMNS($B$7:D7))))),IF($D$3="B",IF($F$3=1,VLOOKUP($C$3,b_single,COLUMNS($B$7:D7)),IF($F$3=2,VLOOKUP($C$3,b_double,COLUMNS($B$7:D7)),IF($F$3=3,VLOOKUP($C$3,b_triple,COLUMNS($B$7:D7))))),IF($D$3="A_Inlet",IF($F$3=1,VLOOKUP($C$3,ai_single,COLUMNS($B$7:D7)),IF($F$3=2,VLOOKUP($C$3,ai_double,COLUMNS($B$7:D7)),IF($F$3=3,VLOOKUP($C$3,ai_triple,COLUMNS($B$7:D7))))),IF($D$3="A",IF($F$3=1,VLOOKUP($C$3,a_single,COLUMNS($B$7:D7)),IF($F$3=2,VLOOKUP($C$3,a_double,COLUMNS($B$7:D7)),IF($F$3=3,VLOOKUP($C$3,a_triple,COLUMNS($B$7:D7))))))))),"")</f>
        <v>1.24</v>
      </c>
      <c r="E6" s="29">
        <f>IFERROR(IF($D$3="C",IF($F$3=1,VLOOKUP($C$3,c_single,COLUMNS($B$7:E7)),IF($F$3=2,VLOOKUP($C$3,c_double,COLUMNS($B$7:E7)),IF($F$3=3,VLOOKUP($C$3,c_triple,COLUMNS($B$7:E7))))),IF($D$3="B",IF($F$3=1,VLOOKUP($C$3,b_single,COLUMNS($B$7:E7)),IF($F$3=2,VLOOKUP($C$3,b_double,COLUMNS($B$7:E7)),IF($F$3=3,VLOOKUP($C$3,b_triple,COLUMNS($B$7:E7))))),IF($D$3="A_Inlet",IF($F$3=1,VLOOKUP($C$3,ai_single,COLUMNS($B$7:E7)),IF($F$3=2,VLOOKUP($C$3,ai_double,COLUMNS($B$7:E7)),IF($F$3=3,VLOOKUP($C$3,ai_triple,COLUMNS($B$7:E7))))),IF($D$3="A",IF($F$3=1,VLOOKUP($C$3,a_single,COLUMNS($B$7:E7)),IF($F$3=2,VLOOKUP($C$3,a_double,COLUMNS($B$7:E7)),IF($F$3=3,VLOOKUP($C$3,a_triple,COLUMNS($B$7:E7))))))))),"")</f>
        <v>1.84</v>
      </c>
      <c r="F6" s="29">
        <f>IFERROR(IF($D$3="C",IF($F$3=1,VLOOKUP($C$3,c_single,COLUMNS($B$7:F7)),IF($F$3=2,VLOOKUP($C$3,c_double,COLUMNS($B$7:F7)),IF($F$3=3,VLOOKUP($C$3,c_triple,COLUMNS($B$7:F7))))),IF($D$3="B",IF($F$3=1,VLOOKUP($C$3,b_single,COLUMNS($B$7:F7)),IF($F$3=2,VLOOKUP($C$3,b_double,COLUMNS($B$7:F7)),IF($F$3=3,VLOOKUP($C$3,b_triple,COLUMNS($B$7:F7))))),IF($D$3="A_Inlet",IF($F$3=1,VLOOKUP($C$3,ai_single,COLUMNS($B$7:F7)),IF($F$3=2,VLOOKUP($C$3,ai_double,COLUMNS($B$7:F7)),IF($F$3=3,VLOOKUP($C$3,ai_triple,COLUMNS($B$7:F7))))),IF($D$3="A",IF($F$3=1,VLOOKUP($C$3,a_single,COLUMNS($B$7:F7)),IF($F$3=2,VLOOKUP($C$3,a_double,COLUMNS($B$7:F7)),IF($F$3=3,VLOOKUP($C$3,a_triple,COLUMNS($B$7:F7))))))))),"")</f>
        <v>4.82</v>
      </c>
      <c r="G6" s="29">
        <f>IFERROR(IF($D$3="C",IF($F$3=1,VLOOKUP($C$3,c_single,COLUMNS($B$7:G7)),IF($F$3=2,VLOOKUP($C$3,c_double,COLUMNS($B$7:G7)),IF($F$3=3,VLOOKUP($C$3,c_triple,COLUMNS($B$7:G7))))),IF($D$3="B",IF($F$3=1,VLOOKUP($C$3,b_single,COLUMNS($B$7:G7)),IF($F$3=2,VLOOKUP($C$3,b_double,COLUMNS($B$7:G7)),IF($F$3=3,VLOOKUP($C$3,b_triple,COLUMNS($B$7:G7))))),IF($D$3="A_Inlet",IF($F$3=1,VLOOKUP($C$3,ai_single,COLUMNS($B$7:G7)),IF($F$3=2,VLOOKUP($C$3,ai_double,COLUMNS($B$7:G7)),IF($F$3=3,VLOOKUP($C$3,ai_triple,COLUMNS($B$7:G7))))),IF($D$3="A",IF($F$3=1,VLOOKUP($C$3,a_single,COLUMNS($B$7:G7)),IF($F$3=2,VLOOKUP($C$3,a_double,COLUMNS($B$7:G7)),IF($F$3=3,VLOOKUP($C$3,a_triple,COLUMNS($B$7:G7))))))))),"")</f>
        <v>2.2799999999999998</v>
      </c>
      <c r="H6" s="29">
        <f>IFERROR(IF($D$3="C",IF($F$3=1,VLOOKUP($C$3,c_single,COLUMNS($B$7:H7)),IF($F$3=2,VLOOKUP($C$3,c_double,COLUMNS($B$7:H7)),IF($F$3=3,VLOOKUP($C$3,c_triple,COLUMNS($B$7:H7))))),IF($D$3="B",IF($F$3=1,VLOOKUP($C$3,b_single,COLUMNS($B$7:H7)),IF($F$3=2,VLOOKUP($C$3,b_double,COLUMNS($B$7:H7)),IF($F$3=3,VLOOKUP($C$3,b_triple,COLUMNS($B$7:H7))))),IF($D$3="A_Inlet",IF($F$3=1,VLOOKUP($C$3,ai_single,COLUMNS($B$7:H7)),IF($F$3=2,VLOOKUP($C$3,ai_double,COLUMNS($B$7:H7)),IF($F$3=3,VLOOKUP($C$3,ai_triple,COLUMNS($B$7:H7))))),IF($D$3="A",IF($F$3=1,VLOOKUP($C$3,a_single,COLUMNS($B$7:H7)),IF($F$3=2,VLOOKUP($C$3,a_double,COLUMNS($B$7:H7)),IF($F$3=3,VLOOKUP($C$3,a_triple,COLUMNS($B$7:H7))))))))),"")</f>
        <v>3.1</v>
      </c>
      <c r="I6" s="29">
        <f>IFERROR(IF($D$3="C",IF($F$3=1,VLOOKUP($C$3,c_single,COLUMNS($B$7:I7)),IF($F$3=2,VLOOKUP($C$3,c_double,COLUMNS($B$7:I7)),IF($F$3=3,VLOOKUP($C$3,c_triple,COLUMNS($B$7:I7))))),IF($D$3="B",IF($F$3=1,VLOOKUP($C$3,b_single,COLUMNS($B$7:I7)),IF($F$3=2,VLOOKUP($C$3,b_double,COLUMNS($B$7:I7)),IF($F$3=3,VLOOKUP($C$3,b_triple,COLUMNS($B$7:I7))))),IF($D$3="A_Inlet",IF($F$3=1,VLOOKUP($C$3,ai_single,COLUMNS($B$7:I7)),IF($F$3=2,VLOOKUP($C$3,ai_double,COLUMNS($B$7:I7)),IF($F$3=3,VLOOKUP($C$3,ai_triple,COLUMNS($B$7:I7))))),IF($D$3="A",IF($F$3=1,VLOOKUP($C$3,a_single,COLUMNS($B$7:I7)),IF($F$3=2,VLOOKUP($C$3,a_double,COLUMNS($B$7:I7)),IF($F$3=3,VLOOKUP($C$3,a_triple,COLUMNS($B$7:I7))))))))),"")</f>
        <v>2.19</v>
      </c>
      <c r="J6" s="29">
        <f>IFERROR(IF($D$3="C",IF($F$3=1,VLOOKUP($C$3,c_single,COLUMNS($B$7:J7)),IF($F$3=2,VLOOKUP($C$3,c_double,COLUMNS($B$7:J7)),IF($F$3=3,VLOOKUP($C$3,c_triple,COLUMNS($B$7:J7))))),IF($D$3="B",IF($F$3=1,VLOOKUP($C$3,b_single,COLUMNS($B$7:J7)),IF($F$3=2,VLOOKUP($C$3,b_double,COLUMNS($B$7:J7)),IF($F$3=3,VLOOKUP($C$3,b_triple,COLUMNS($B$7:J7))))),IF($D$3="A_Inlet",IF($F$3=1,VLOOKUP($C$3,ai_single,COLUMNS($B$7:J7)),IF($F$3=2,VLOOKUP($C$3,ai_double,COLUMNS($B$7:J7)),IF($F$3=3,VLOOKUP($C$3,ai_triple,COLUMNS($B$7:J7))))),IF($D$3="A",IF($F$3=1,VLOOKUP($C$3,a_single,COLUMNS($B$7:J7)),IF($F$3=2,VLOOKUP($C$3,a_double,COLUMNS($B$7:J7)),IF($F$3=3,VLOOKUP($C$3,a_triple,COLUMNS($B$7:J7))))))))),"")</f>
        <v>1.84</v>
      </c>
      <c r="K6" s="29">
        <f>IFERROR(IF($D$3="C",IF($F$3=1,VLOOKUP($C$3,c_single,COLUMNS($B$7:K7)),IF($F$3=2,VLOOKUP($C$3,c_double,COLUMNS($B$7:K7)),IF($F$3=3,VLOOKUP($C$3,c_triple,COLUMNS($B$7:K7))))),IF($D$3="B",IF($F$3=1,VLOOKUP($C$3,b_single,COLUMNS($B$7:K7)),IF($F$3=2,VLOOKUP($C$3,b_double,COLUMNS($B$7:K7)),IF($F$3=3,VLOOKUP($C$3,b_triple,COLUMNS($B$7:K7))))),IF($D$3="A_Inlet",IF($F$3=1,VLOOKUP($C$3,ai_single,COLUMNS($B$7:K7)),IF($F$3=2,VLOOKUP($C$3,ai_double,COLUMNS($B$7:K7)),IF($F$3=3,VLOOKUP($C$3,ai_triple,COLUMNS($B$7:K7))))),IF($D$3="A",IF($F$3=1,VLOOKUP($C$3,a_single,COLUMNS($B$7:K7)),IF($F$3=2,VLOOKUP($C$3,a_double,COLUMNS($B$7:K7)),IF($F$3=3,VLOOKUP($C$3,a_triple,COLUMNS($B$7:K7))))))))),"")</f>
        <v>1.18</v>
      </c>
      <c r="L6" s="29">
        <f>IFERROR(IF($D$3="C",IF($F$3=1,VLOOKUP($C$3,c_single,COLUMNS($B$7:L7)),IF($F$3=2,VLOOKUP($C$3,c_double,COLUMNS($B$7:L7)),IF($F$3=3,VLOOKUP($C$3,c_triple,COLUMNS($B$7:L7))))),IF($D$3="B",IF($F$3=1,VLOOKUP($C$3,b_single,COLUMNS($B$7:L7)),IF($F$3=2,VLOOKUP($C$3,b_double,COLUMNS($B$7:L7)),IF($F$3=3,VLOOKUP($C$3,b_triple,COLUMNS($B$7:L7))))),IF($D$3="A_Inlet",IF($F$3=1,VLOOKUP($C$3,ai_single,COLUMNS($B$7:L7)),IF($F$3=2,VLOOKUP($C$3,ai_double,COLUMNS($B$7:L7)),IF($F$3=3,VLOOKUP($C$3,ai_triple,COLUMNS($B$7:L7))))),IF($D$3="A",IF($F$3=1,VLOOKUP($C$3,a_single,COLUMNS($B$7:L7)),IF($F$3=2,VLOOKUP($C$3,a_double,COLUMNS($B$7:L7)),IF($F$3=3,VLOOKUP($C$3,a_triple,COLUMNS($B$7:L7))))))))),"")</f>
        <v>1.04</v>
      </c>
      <c r="M6" s="29" t="str">
        <f>IFERROR(IF($D$3="C",IF($F$3=1,VLOOKUP($C$3,c_single,COLUMNS($B$7:M7)),IF($F$3=2,VLOOKUP($C$3,c_double,COLUMNS($B$7:M7)),IF($F$3=3,VLOOKUP($C$3,c_triple,COLUMNS($B$7:M7))))),IF($D$3="B",IF($F$3=1,VLOOKUP($C$3,b_single,COLUMNS($B$7:M7)),IF($F$3=2,VLOOKUP($C$3,b_double,COLUMNS($B$7:M7)),IF($F$3=3,VLOOKUP($C$3,b_triple,COLUMNS($B$7:M7))))),IF($D$3="A_Inlet",IF($F$3=1,VLOOKUP($C$3,ai_single,COLUMNS($B$7:M7)),IF($F$3=2,VLOOKUP($C$3,ai_double,COLUMNS($B$7:M7)),IF($F$3=3,VLOOKUP($C$3,ai_triple,COLUMNS($B$7:M7))))),IF($D$3="A",IF($F$3=1,VLOOKUP($C$3,a_single,COLUMNS($B$7:M7)),IF($F$3=2,VLOOKUP($C$3,a_double,COLUMNS($B$7:M7)),IF($F$3=3,VLOOKUP($C$3,a_triple,COLUMNS($B$7:M7))))))))),"")</f>
        <v/>
      </c>
      <c r="N6" s="29" t="str">
        <f>IFERROR(IF($D$3="C",IF($F$3=1,VLOOKUP($C$3,c_single,COLUMNS($B$7:N7)),IF($F$3=2,VLOOKUP($C$3,c_double,COLUMNS($B$7:N7)),IF($F$3=3,VLOOKUP($C$3,c_triple,COLUMNS($B$7:N7))))),IF($D$3="B",IF($F$3=1,VLOOKUP($C$3,b_single,COLUMNS($B$7:N7)),IF($F$3=2,VLOOKUP($C$3,b_double,COLUMNS($B$7:N7)),IF($F$3=3,VLOOKUP($C$3,b_triple,COLUMNS($B$7:N7))))),IF($D$3="A_Inlet",IF($F$3=1,VLOOKUP($C$3,ai_single,COLUMNS($B$7:N7)),IF($F$3=2,VLOOKUP($C$3,ai_double,COLUMNS($B$7:N7)),IF($F$3=3,VLOOKUP($C$3,ai_triple,COLUMNS($B$7:N7))))),IF($D$3="A",IF($F$3=1,VLOOKUP($C$3,a_single,COLUMNS($B$7:N7)),IF($F$3=2,VLOOKUP($C$3,a_double,COLUMNS($B$7:N7)),IF($F$3=3,VLOOKUP($C$3,a_triple,COLUMNS($B$7:N7))))))))),"")</f>
        <v/>
      </c>
      <c r="O6" s="29" t="str">
        <f>IFERROR(IF($D$3="C",IF($F$3=1,VLOOKUP($C$3,c_single,COLUMNS($B$7:O7)),IF($F$3=2,VLOOKUP($C$3,c_double,COLUMNS($B$7:O7)),IF($F$3=3,VLOOKUP($C$3,c_triple,COLUMNS($B$7:O7))))),IF($D$3="B",IF($F$3=1,VLOOKUP($C$3,b_single,COLUMNS($B$7:O7)),IF($F$3=2,VLOOKUP($C$3,b_double,COLUMNS($B$7:O7)),IF($F$3=3,VLOOKUP($C$3,b_triple,COLUMNS($B$7:O7))))),IF($D$3="A_Inlet",IF($F$3=1,VLOOKUP($C$3,ai_single,COLUMNS($B$7:O7)),IF($F$3=2,VLOOKUP($C$3,ai_double,COLUMNS($B$7:O7)),IF($F$3=3,VLOOKUP($C$3,ai_triple,COLUMNS($B$7:O7))))),IF($D$3="A",IF($F$3=1,VLOOKUP($C$3,a_single,COLUMNS($B$7:O7)),IF($F$3=2,VLOOKUP($C$3,a_double,COLUMNS($B$7:O7)),IF($F$3=3,VLOOKUP($C$3,a_triple,COLUMNS($B$7:O7))))))))),"")</f>
        <v/>
      </c>
    </row>
    <row r="8" spans="1:19">
      <c r="B8" s="22" t="s">
        <v>30</v>
      </c>
      <c r="C8" s="10" t="s">
        <v>10</v>
      </c>
      <c r="D8" s="10" t="s">
        <v>10</v>
      </c>
      <c r="E8" s="10" t="s">
        <v>10</v>
      </c>
      <c r="F8" s="10" t="s">
        <v>10</v>
      </c>
      <c r="G8" s="10" t="s">
        <v>10</v>
      </c>
      <c r="H8" s="10" t="s">
        <v>10</v>
      </c>
      <c r="I8" s="10" t="s">
        <v>10</v>
      </c>
      <c r="J8" s="10" t="s">
        <v>10</v>
      </c>
      <c r="K8" s="10" t="s">
        <v>10</v>
      </c>
      <c r="L8" s="10" t="s">
        <v>10</v>
      </c>
      <c r="M8" s="10" t="s">
        <v>10</v>
      </c>
      <c r="N8" s="10" t="s">
        <v>10</v>
      </c>
      <c r="O8" s="10" t="s">
        <v>10</v>
      </c>
    </row>
    <row r="9" spans="1:19">
      <c r="B9" s="28" t="str">
        <f>IFERROR(IF($E$3="C",INDEX(c_title,1,COLUMNS($B$7:B11)),IF($E$3="A",INDEX(a_title,1,COLUMNS($B$7:B11)),IF($E$3="B",INDEX(b_title,1,COLUMNS($B$7:B11)),IF($E$3="A_Inlet",INDEX(ai_title,1,COLUMNS($B$7:B11)))))),"")</f>
        <v>Di</v>
      </c>
      <c r="C9" s="28" t="str">
        <f>IFERROR(IF($E$3="C",INDEX(c_title,1,COLUMNS($B$7:C11)),IF($E$3="A",INDEX(a_title,1,COLUMNS($B$7:C11)),IF($E$3="B",INDEX(b_title,1,COLUMNS($B$7:C11)),IF($E$3="A_Inlet",INDEX(ai_title,1,COLUMNS($B$7:C11)))))),"")</f>
        <v>t</v>
      </c>
      <c r="D9" s="28" t="str">
        <f>IFERROR(IF($E$3="C",INDEX(c_title,1,COLUMNS($B$7:D11)),IF($E$3="A",INDEX(a_title,1,COLUMNS($B$7:D11)),IF($E$3="B",INDEX(b_title,1,COLUMNS($B$7:D11)),IF($E$3="A_Inlet",INDEX(ai_title,1,COLUMNS($B$7:D11)))))),"")</f>
        <v>Do</v>
      </c>
      <c r="E9" s="28" t="str">
        <f>IFERROR(IF($E$3="C",INDEX(c_title,1,COLUMNS($B$7:E11)),IF($E$3="A",INDEX(a_title,1,COLUMNS($B$7:E11)),IF($E$3="B",INDEX(b_title,1,COLUMNS($B$7:E11)),IF($E$3="A_Inlet",INDEX(ai_title,1,COLUMNS($B$7:E11)))))),"")</f>
        <v>L1</v>
      </c>
      <c r="F9" s="28" t="str">
        <f>IFERROR(IF($E$3="C",INDEX(c_title,1,COLUMNS($B$7:F11)),IF($E$3="A",INDEX(a_title,1,COLUMNS($B$7:F11)),IF($E$3="B",INDEX(b_title,1,COLUMNS($B$7:F11)),IF($E$3="A_Inlet",INDEX(ai_title,1,COLUMNS($B$7:F11)))))),"")</f>
        <v>L2</v>
      </c>
      <c r="G9" s="28" t="str">
        <f>IFERROR(IF($E$3="C",INDEX(c_title,1,COLUMNS($B$7:G11)),IF($E$3="A",INDEX(a_title,1,COLUMNS($B$7:G11)),IF($E$3="B",INDEX(b_title,1,COLUMNS($B$7:G11)),IF($E$3="A_Inlet",INDEX(ai_title,1,COLUMNS($B$7:G11)))))),"")</f>
        <v>W1</v>
      </c>
      <c r="H9" s="28" t="str">
        <f>IFERROR(IF($E$3="C",INDEX(c_title,1,COLUMNS($B$7:H11)),IF($E$3="A",INDEX(a_title,1,COLUMNS($B$7:H11)),IF($E$3="B",INDEX(b_title,1,COLUMNS($B$7:H11)),IF($E$3="A_Inlet",INDEX(ai_title,1,COLUMNS($B$7:H11)))))),"")</f>
        <v>W2</v>
      </c>
      <c r="I9" s="28" t="str">
        <f>IFERROR(IF($E$3="C",INDEX(c_title,1,COLUMNS($B$7:I11)),IF($E$3="A",INDEX(a_title,1,COLUMNS($B$7:I11)),IF($E$3="B",INDEX(b_title,1,COLUMNS($B$7:I11)),IF($E$3="A_Inlet",INDEX(ai_title,1,COLUMNS($B$7:I11)))))),"")</f>
        <v>H1</v>
      </c>
      <c r="J9" s="28" t="str">
        <f>IFERROR(IF($E$3="C",INDEX(c_title,1,COLUMNS($B$7:J11)),IF($E$3="A",INDEX(a_title,1,COLUMNS($B$7:J11)),IF($E$3="B",INDEX(b_title,1,COLUMNS($B$7:J11)),IF($E$3="A_Inlet",INDEX(ai_title,1,COLUMNS($B$7:J11)))))),"")</f>
        <v>H2</v>
      </c>
      <c r="K9" s="28" t="str">
        <f>IFERROR(IF($E$3="C",INDEX(c_title,1,COLUMNS($B$7:K11)),IF($E$3="A",INDEX(a_title,1,COLUMNS($B$7:K11)),IF($E$3="B",INDEX(b_title,1,COLUMNS($B$7:K11)),IF($E$3="A_Inlet",INDEX(ai_title,1,COLUMNS($B$7:K11)))))),"")</f>
        <v>H3</v>
      </c>
      <c r="L9" s="28" t="str">
        <f>IFERROR(IF($E$3="C",INDEX(c_title,1,COLUMNS($B$7:L11)),IF($E$3="A",INDEX(a_title,1,COLUMNS($B$7:L11)),IF($E$3="B",INDEX(b_title,1,COLUMNS($B$7:L11)),IF($E$3="A_Inlet",INDEX(ai_title,1,COLUMNS($B$7:L11)))))),"")</f>
        <v>B1</v>
      </c>
      <c r="M9" s="28" t="str">
        <f>IFERROR(IF($E$3="C",INDEX(c_title,1,COLUMNS($B$7:M11)),IF($E$3="A",INDEX(a_title,1,COLUMNS($B$7:M11)),IF($E$3="B",INDEX(b_title,1,COLUMNS($B$7:M11)),IF($E$3="A_Inlet",INDEX(ai_title,1,COLUMNS($B$7:M11)))))),"")</f>
        <v>B2</v>
      </c>
      <c r="N9" s="28" t="str">
        <f>IFERROR(IF($E$3="C",INDEX(c_title,1,COLUMNS($B$7:N11)),IF($E$3="A",INDEX(a_title,1,COLUMNS($B$7:N11)),IF($E$3="B",INDEX(b_title,1,COLUMNS($B$7:N11)),IF($E$3="A_Inlet",INDEX(ai_title,1,COLUMNS($B$7:N11)))))),"")</f>
        <v/>
      </c>
      <c r="O9" s="28" t="str">
        <f>IFERROR(IF($E$3="C",INDEX(c_title,1,COLUMNS($B$7:O11)),IF($E$3="A",INDEX(a_title,1,COLUMNS($B$7:O11)),IF($E$3="B",INDEX(b_title,1,COLUMNS($B$7:O11)),IF($E$3="A_Inlet",INDEX(ai_title,1,COLUMNS($B$7:O11)))))),"")</f>
        <v/>
      </c>
    </row>
    <row r="10" spans="1:19">
      <c r="B10" s="29">
        <f>IFERROR(IF($E$3="C",IF($F$3=1,VLOOKUP($C$3,c_single,COLUMNS($B$7:B11)),IF($F$3=2,VLOOKUP($C$3,c_double,COLUMNS($B$7:B11)),IF($F$3=3,VLOOKUP($C$3,c_triple,COLUMNS($B$7:B11))))),IF($E$3="B",IF($F$3=1,VLOOKUP($C$3,b_single,COLUMNS($B$7:B11)),IF($F$3=2,VLOOKUP($C$3,b_double,COLUMNS($B$7:B11)),IF($F$3=3,VLOOKUP($C$3,b_triple,COLUMNS($B$7:B11))))),IF($E$3="A_Inlet",IF($F$3=1,VLOOKUP($C$3,ai_single,COLUMNS($B$7:B11)),IF($F$3=2,VLOOKUP($C$3,ai_double,COLUMNS($B$7:B11)),IF($F$3=3,VLOOKUP($C$3,ai_triple,COLUMNS($B$7:B11))))),IF($E$3="A",IF($F$3=1,VLOOKUP($C$3,a_single,COLUMNS($B$7:B11)),IF($F$3=2,VLOOKUP($C$3,a_double,COLUMNS($B$7:B11)),IF($F$3=3,VLOOKUP($C$3,a_triple,COLUMNS($B$7:B11))))))))),"")</f>
        <v>1060</v>
      </c>
      <c r="C10" s="29">
        <f>IFERROR(IF($E$3="C",IF($F$3=1,VLOOKUP($C$3,c_single,COLUMNS($B$7:C11)),IF($F$3=2,VLOOKUP($C$3,c_double,COLUMNS($B$7:C11)),IF($F$3=3,VLOOKUP($C$3,c_triple,COLUMNS($B$7:C11))))),IF($E$3="B",IF($F$3=1,VLOOKUP($C$3,b_single,COLUMNS($B$7:C11)),IF($F$3=2,VLOOKUP($C$3,b_double,COLUMNS($B$7:C11)),IF($F$3=3,VLOOKUP($C$3,b_triple,COLUMNS($B$7:C11))))),IF($E$3="A_Inlet",IF($F$3=1,VLOOKUP($C$3,ai_single,COLUMNS($B$7:C11)),IF($F$3=2,VLOOKUP($C$3,ai_double,COLUMNS($B$7:C11)),IF($F$3=3,VLOOKUP($C$3,ai_triple,COLUMNS($B$7:C11))))),IF($E$3="A",IF($F$3=1,VLOOKUP($C$3,a_single,COLUMNS($B$7:C11)),IF($F$3=2,VLOOKUP($C$3,a_double,COLUMNS($B$7:C11)),IF($F$3=3,VLOOKUP($C$3,a_triple,COLUMNS($B$7:C11))))))))),"")</f>
        <v>0.09</v>
      </c>
      <c r="D10" s="29">
        <f>IFERROR(IF($E$3="C",IF($F$3=1,VLOOKUP($C$3,c_single,COLUMNS($B$7:D11)),IF($F$3=2,VLOOKUP($C$3,c_double,COLUMNS($B$7:D11)),IF($F$3=3,VLOOKUP($C$3,c_triple,COLUMNS($B$7:D11))))),IF($E$3="B",IF($F$3=1,VLOOKUP($C$3,b_single,COLUMNS($B$7:D11)),IF($F$3=2,VLOOKUP($C$3,b_double,COLUMNS($B$7:D11)),IF($F$3=3,VLOOKUP($C$3,b_triple,COLUMNS($B$7:D11))))),IF($E$3="A_Inlet",IF($F$3=1,VLOOKUP($C$3,ai_single,COLUMNS($B$7:D11)),IF($F$3=2,VLOOKUP($C$3,ai_double,COLUMNS($B$7:D11)),IF($F$3=3,VLOOKUP($C$3,ai_triple,COLUMNS($B$7:D11))))),IF($E$3="A",IF($F$3=1,VLOOKUP($C$3,a_single,COLUMNS($B$7:D11)),IF($F$3=2,VLOOKUP($C$3,a_double,COLUMNS($B$7:D11)),IF($F$3=3,VLOOKUP($C$3,a_triple,COLUMNS($B$7:D11))))))))),"")</f>
        <v>1.24</v>
      </c>
      <c r="E10" s="29">
        <f>IFERROR(IF($E$3="C",IF($F$3=1,VLOOKUP($C$3,c_single,COLUMNS($B$7:E11)),IF($F$3=2,VLOOKUP($C$3,c_double,COLUMNS($B$7:E11)),IF($F$3=3,VLOOKUP($C$3,c_triple,COLUMNS($B$7:E11))))),IF($E$3="B",IF($F$3=1,VLOOKUP($C$3,b_single,COLUMNS($B$7:E11)),IF($F$3=2,VLOOKUP($C$3,b_double,COLUMNS($B$7:E11)),IF($F$3=3,VLOOKUP($C$3,b_triple,COLUMNS($B$7:E11))))),IF($E$3="A_Inlet",IF($F$3=1,VLOOKUP($C$3,ai_single,COLUMNS($B$7:E11)),IF($F$3=2,VLOOKUP($C$3,ai_double,COLUMNS($B$7:E11)),IF($F$3=3,VLOOKUP($C$3,ai_triple,COLUMNS($B$7:E11))))),IF($E$3="A",IF($F$3=1,VLOOKUP($C$3,a_single,COLUMNS($B$7:E11)),IF($F$3=2,VLOOKUP($C$3,a_double,COLUMNS($B$7:E11)),IF($F$3=3,VLOOKUP($C$3,a_triple,COLUMNS($B$7:E11))))))))),"")</f>
        <v>3.83</v>
      </c>
      <c r="F10" s="29">
        <f>IFERROR(IF($E$3="C",IF($F$3=1,VLOOKUP($C$3,c_single,COLUMNS($B$7:F11)),IF($F$3=2,VLOOKUP($C$3,c_double,COLUMNS($B$7:F11)),IF($F$3=3,VLOOKUP($C$3,c_triple,COLUMNS($B$7:F11))))),IF($E$3="B",IF($F$3=1,VLOOKUP($C$3,b_single,COLUMNS($B$7:F11)),IF($F$3=2,VLOOKUP($C$3,b_double,COLUMNS($B$7:F11)),IF($F$3=3,VLOOKUP($C$3,b_triple,COLUMNS($B$7:F11))))),IF($E$3="A_Inlet",IF($F$3=1,VLOOKUP($C$3,ai_single,COLUMNS($B$7:F11)),IF($F$3=2,VLOOKUP($C$3,ai_double,COLUMNS($B$7:F11)),IF($F$3=3,VLOOKUP($C$3,ai_triple,COLUMNS($B$7:F11))))),IF($E$3="A",IF($F$3=1,VLOOKUP($C$3,a_single,COLUMNS($B$7:F11)),IF($F$3=2,VLOOKUP($C$3,a_double,COLUMNS($B$7:F11)),IF($F$3=3,VLOOKUP($C$3,a_triple,COLUMNS($B$7:F11))))))))),"")</f>
        <v>2.44</v>
      </c>
      <c r="G10" s="29">
        <f>IFERROR(IF($E$3="C",IF($F$3=1,VLOOKUP($C$3,c_single,COLUMNS($B$7:G11)),IF($F$3=2,VLOOKUP($C$3,c_double,COLUMNS($B$7:G11)),IF($F$3=3,VLOOKUP($C$3,c_triple,COLUMNS($B$7:G11))))),IF($E$3="B",IF($F$3=1,VLOOKUP($C$3,b_single,COLUMNS($B$7:G11)),IF($F$3=2,VLOOKUP($C$3,b_double,COLUMNS($B$7:G11)),IF($F$3=3,VLOOKUP($C$3,b_triple,COLUMNS($B$7:G11))))),IF($E$3="A_Inlet",IF($F$3=1,VLOOKUP($C$3,ai_single,COLUMNS($B$7:G11)),IF($F$3=2,VLOOKUP($C$3,ai_double,COLUMNS($B$7:G11)),IF($F$3=3,VLOOKUP($C$3,ai_triple,COLUMNS($B$7:G11))))),IF($E$3="A",IF($F$3=1,VLOOKUP($C$3,a_single,COLUMNS($B$7:G11)),IF($F$3=2,VLOOKUP($C$3,a_double,COLUMNS($B$7:G11)),IF($F$3=3,VLOOKUP($C$3,a_triple,COLUMNS($B$7:G11))))))))),"")</f>
        <v>1.5</v>
      </c>
      <c r="H10" s="29">
        <f>IFERROR(IF($E$3="C",IF($F$3=1,VLOOKUP($C$3,c_single,COLUMNS($B$7:H11)),IF($F$3=2,VLOOKUP($C$3,c_double,COLUMNS($B$7:H11)),IF($F$3=3,VLOOKUP($C$3,c_triple,COLUMNS($B$7:H11))))),IF($E$3="B",IF($F$3=1,VLOOKUP($C$3,b_single,COLUMNS($B$7:H11)),IF($F$3=2,VLOOKUP($C$3,b_double,COLUMNS($B$7:H11)),IF($F$3=3,VLOOKUP($C$3,b_triple,COLUMNS($B$7:H11))))),IF($E$3="A_Inlet",IF($F$3=1,VLOOKUP($C$3,ai_single,COLUMNS($B$7:H11)),IF($F$3=2,VLOOKUP($C$3,ai_double,COLUMNS($B$7:H11)),IF($F$3=3,VLOOKUP($C$3,ai_triple,COLUMNS($B$7:H11))))),IF($E$3="A",IF($F$3=1,VLOOKUP($C$3,a_single,COLUMNS($B$7:H11)),IF($F$3=2,VLOOKUP($C$3,a_double,COLUMNS($B$7:H11)),IF($F$3=3,VLOOKUP($C$3,a_triple,COLUMNS($B$7:H11))))))))),"")</f>
        <v>3.85</v>
      </c>
      <c r="I10" s="29">
        <f>IFERROR(IF($E$3="C",IF($F$3=1,VLOOKUP($C$3,c_single,COLUMNS($B$7:I11)),IF($F$3=2,VLOOKUP($C$3,c_double,COLUMNS($B$7:I11)),IF($F$3=3,VLOOKUP($C$3,c_triple,COLUMNS($B$7:I11))))),IF($E$3="B",IF($F$3=1,VLOOKUP($C$3,b_single,COLUMNS($B$7:I11)),IF($F$3=2,VLOOKUP($C$3,b_double,COLUMNS($B$7:I11)),IF($F$3=3,VLOOKUP($C$3,b_triple,COLUMNS($B$7:I11))))),IF($E$3="A_Inlet",IF($F$3=1,VLOOKUP($C$3,ai_single,COLUMNS($B$7:I11)),IF($F$3=2,VLOOKUP($C$3,ai_double,COLUMNS($B$7:I11)),IF($F$3=3,VLOOKUP($C$3,ai_triple,COLUMNS($B$7:I11))))),IF($E$3="A",IF($F$3=1,VLOOKUP($C$3,a_single,COLUMNS($B$7:I11)),IF($F$3=2,VLOOKUP($C$3,a_double,COLUMNS($B$7:I11)),IF($F$3=3,VLOOKUP($C$3,a_triple,COLUMNS($B$7:I11))))))))),"")</f>
        <v>2.19</v>
      </c>
      <c r="J10" s="29">
        <f>IFERROR(IF($E$3="C",IF($F$3=1,VLOOKUP($C$3,c_single,COLUMNS($B$7:J11)),IF($F$3=2,VLOOKUP($C$3,c_double,COLUMNS($B$7:J11)),IF($F$3=3,VLOOKUP($C$3,c_triple,COLUMNS($B$7:J11))))),IF($E$3="B",IF($F$3=1,VLOOKUP($C$3,b_single,COLUMNS($B$7:J11)),IF($F$3=2,VLOOKUP($C$3,b_double,COLUMNS($B$7:J11)),IF($F$3=3,VLOOKUP($C$3,b_triple,COLUMNS($B$7:J11))))),IF($E$3="A_Inlet",IF($F$3=1,VLOOKUP($C$3,ai_single,COLUMNS($B$7:J11)),IF($F$3=2,VLOOKUP($C$3,ai_double,COLUMNS($B$7:J11)),IF($F$3=3,VLOOKUP($C$3,ai_triple,COLUMNS($B$7:J11))))),IF($E$3="A",IF($F$3=1,VLOOKUP($C$3,a_single,COLUMNS($B$7:J11)),IF($F$3=2,VLOOKUP($C$3,a_double,COLUMNS($B$7:J11)),IF($F$3=3,VLOOKUP($C$3,a_triple,COLUMNS($B$7:J11))))))))),"")</f>
        <v>1.74</v>
      </c>
      <c r="K10" s="29">
        <f>IFERROR(IF($E$3="C",IF($F$3=1,VLOOKUP($C$3,c_single,COLUMNS($B$7:K11)),IF($F$3=2,VLOOKUP($C$3,c_double,COLUMNS($B$7:K11)),IF($F$3=3,VLOOKUP($C$3,c_triple,COLUMNS($B$7:K11))))),IF($E$3="B",IF($F$3=1,VLOOKUP($C$3,b_single,COLUMNS($B$7:K11)),IF($F$3=2,VLOOKUP($C$3,b_double,COLUMNS($B$7:K11)),IF($F$3=3,VLOOKUP($C$3,b_triple,COLUMNS($B$7:K11))))),IF($E$3="A_Inlet",IF($F$3=1,VLOOKUP($C$3,ai_single,COLUMNS($B$7:K11)),IF($F$3=2,VLOOKUP($C$3,ai_double,COLUMNS($B$7:K11)),IF($F$3=3,VLOOKUP($C$3,ai_triple,COLUMNS($B$7:K11))))),IF($E$3="A",IF($F$3=1,VLOOKUP($C$3,a_single,COLUMNS($B$7:K11)),IF($F$3=2,VLOOKUP($C$3,a_double,COLUMNS($B$7:K11)),IF($F$3=3,VLOOKUP($C$3,a_triple,COLUMNS($B$7:K11))))))))),"")</f>
        <v>1.44</v>
      </c>
      <c r="L10" s="29">
        <f>IFERROR(IF($E$3="C",IF($F$3=1,VLOOKUP($C$3,c_single,COLUMNS($B$7:L11)),IF($F$3=2,VLOOKUP($C$3,c_double,COLUMNS($B$7:L11)),IF($F$3=3,VLOOKUP($C$3,c_triple,COLUMNS($B$7:L11))))),IF($E$3="B",IF($F$3=1,VLOOKUP($C$3,b_single,COLUMNS($B$7:L11)),IF($F$3=2,VLOOKUP($C$3,b_double,COLUMNS($B$7:L11)),IF($F$3=3,VLOOKUP($C$3,b_triple,COLUMNS($B$7:L11))))),IF($E$3="A_Inlet",IF($F$3=1,VLOOKUP($C$3,ai_single,COLUMNS($B$7:L11)),IF($F$3=2,VLOOKUP($C$3,ai_double,COLUMNS($B$7:L11)),IF($F$3=3,VLOOKUP($C$3,ai_triple,COLUMNS($B$7:L11))))),IF($E$3="A",IF($F$3=1,VLOOKUP($C$3,a_single,COLUMNS($B$7:L11)),IF($F$3=2,VLOOKUP($C$3,a_double,COLUMNS($B$7:L11)),IF($F$3=3,VLOOKUP($C$3,a_triple,COLUMNS($B$7:L11))))))))),"")</f>
        <v>1.18</v>
      </c>
      <c r="M10" s="29">
        <f>IFERROR(IF($E$3="C",IF($F$3=1,VLOOKUP($C$3,c_single,COLUMNS($B$7:M11)),IF($F$3=2,VLOOKUP($C$3,c_double,COLUMNS($B$7:M11)),IF($F$3=3,VLOOKUP($C$3,c_triple,COLUMNS($B$7:M11))))),IF($E$3="B",IF($F$3=1,VLOOKUP($C$3,b_single,COLUMNS($B$7:M11)),IF($F$3=2,VLOOKUP($C$3,b_double,COLUMNS($B$7:M11)),IF($F$3=3,VLOOKUP($C$3,b_triple,COLUMNS($B$7:M11))))),IF($E$3="A_Inlet",IF($F$3=1,VLOOKUP($C$3,ai_single,COLUMNS($B$7:M11)),IF($F$3=2,VLOOKUP($C$3,ai_double,COLUMNS($B$7:M11)),IF($F$3=3,VLOOKUP($C$3,ai_triple,COLUMNS($B$7:M11))))),IF($E$3="A",IF($F$3=1,VLOOKUP($C$3,a_single,COLUMNS($B$7:M11)),IF($F$3=2,VLOOKUP($C$3,a_double,COLUMNS($B$7:M11)),IF($F$3=3,VLOOKUP($C$3,a_triple,COLUMNS($B$7:M11))))))))),"")</f>
        <v>1</v>
      </c>
      <c r="N10" s="29" t="str">
        <f>IFERROR(IF($E$3="C",IF($F$3=1,VLOOKUP($C$3,c_single,COLUMNS($B$7:N11)),IF($F$3=2,VLOOKUP($C$3,c_double,COLUMNS($B$7:N11)),IF($F$3=3,VLOOKUP($C$3,c_triple,COLUMNS($B$7:N11))))),IF($E$3="B",IF($F$3=1,VLOOKUP($C$3,b_single,COLUMNS($B$7:N11)),IF($F$3=2,VLOOKUP($C$3,b_double,COLUMNS($B$7:N11)),IF($F$3=3,VLOOKUP($C$3,b_triple,COLUMNS($B$7:N11))))),IF($E$3="A_Inlet",IF($F$3=1,VLOOKUP($C$3,ai_single,COLUMNS($B$7:N11)),IF($F$3=2,VLOOKUP($C$3,ai_double,COLUMNS($B$7:N11)),IF($F$3=3,VLOOKUP($C$3,ai_triple,COLUMNS($B$7:N11))))),IF($E$3="A",IF($F$3=1,VLOOKUP($C$3,a_single,COLUMNS($B$7:N11)),IF($F$3=2,VLOOKUP($C$3,a_double,COLUMNS($B$7:N11)),IF($F$3=3,VLOOKUP($C$3,a_triple,COLUMNS($B$7:N11))))))))),"")</f>
        <v/>
      </c>
      <c r="O10" s="29" t="str">
        <f>IFERROR(IF($E$3="C",IF($F$3=1,VLOOKUP($C$3,c_single,COLUMNS($B$7:O11)),IF($F$3=2,VLOOKUP($C$3,c_double,COLUMNS($B$7:O11)),IF($F$3=3,VLOOKUP($C$3,c_triple,COLUMNS($B$7:O11))))),IF($E$3="B",IF($F$3=1,VLOOKUP($C$3,b_single,COLUMNS($B$7:O11)),IF($F$3=2,VLOOKUP($C$3,b_double,COLUMNS($B$7:O11)),IF($F$3=3,VLOOKUP($C$3,b_triple,COLUMNS($B$7:O11))))),IF($E$3="A_Inlet",IF($F$3=1,VLOOKUP($C$3,ai_single,COLUMNS($B$7:O11)),IF($F$3=2,VLOOKUP($C$3,ai_double,COLUMNS($B$7:O11)),IF($F$3=3,VLOOKUP($C$3,ai_triple,COLUMNS($B$7:O11))))),IF($E$3="A",IF($F$3=1,VLOOKUP($C$3,a_single,COLUMNS($B$7:O11)),IF($F$3=2,VLOOKUP($C$3,a_double,COLUMNS($B$7:O11)),IF($F$3=3,VLOOKUP($C$3,a_triple,COLUMNS($B$7:O11))))))))),"")</f>
        <v/>
      </c>
    </row>
    <row r="11" spans="1:19" ht="15.75" thickBot="1"/>
    <row r="12" spans="1:19" ht="16.5" thickTop="1" thickBot="1">
      <c r="E12" t="s">
        <v>36</v>
      </c>
      <c r="J12" s="131" t="s">
        <v>27</v>
      </c>
      <c r="K12" s="131"/>
    </row>
    <row r="13" spans="1:19" ht="15" customHeight="1" thickTop="1">
      <c r="A13" s="126" t="s">
        <v>6</v>
      </c>
      <c r="B13" s="126"/>
      <c r="C13" s="126"/>
      <c r="D13" s="126"/>
      <c r="E13" s="126"/>
      <c r="F13" s="126"/>
      <c r="G13" s="126"/>
      <c r="H13" s="126"/>
      <c r="I13" s="126"/>
      <c r="J13" s="123" t="s">
        <v>16</v>
      </c>
      <c r="K13" s="123" t="s">
        <v>17</v>
      </c>
    </row>
    <row r="14" spans="1:19" ht="15" customHeight="1">
      <c r="A14" s="120"/>
      <c r="B14" s="127" t="s">
        <v>8</v>
      </c>
      <c r="C14" s="115" t="s">
        <v>12</v>
      </c>
      <c r="D14" s="115" t="s">
        <v>11</v>
      </c>
      <c r="E14" s="115" t="s">
        <v>13</v>
      </c>
      <c r="F14" s="115" t="s">
        <v>21</v>
      </c>
      <c r="G14" s="115" t="s">
        <v>14</v>
      </c>
      <c r="H14" s="115" t="s">
        <v>9</v>
      </c>
      <c r="I14" s="115" t="s">
        <v>15</v>
      </c>
      <c r="J14" s="123"/>
      <c r="K14" s="123"/>
    </row>
    <row r="15" spans="1:19" ht="31.5" customHeight="1" thickBot="1">
      <c r="A15" s="121"/>
      <c r="B15" s="128"/>
      <c r="C15" s="116"/>
      <c r="D15" s="116"/>
      <c r="E15" s="116"/>
      <c r="F15" s="116"/>
      <c r="G15" s="116"/>
      <c r="H15" s="116"/>
      <c r="I15" s="116"/>
      <c r="J15" s="124"/>
      <c r="K15" s="124"/>
    </row>
    <row r="16" spans="1:19" ht="15.75" thickTop="1">
      <c r="A16" s="122" t="s">
        <v>18</v>
      </c>
      <c r="B16" s="11">
        <v>600</v>
      </c>
      <c r="C16" s="14">
        <v>0.06</v>
      </c>
      <c r="D16" s="14">
        <v>0.72</v>
      </c>
      <c r="E16" s="14">
        <v>2.88</v>
      </c>
      <c r="F16" s="14">
        <v>2.52</v>
      </c>
      <c r="G16" s="14">
        <v>1.8</v>
      </c>
      <c r="H16" s="11">
        <v>1.67</v>
      </c>
      <c r="I16" s="14">
        <v>0.97</v>
      </c>
      <c r="J16" s="14">
        <v>2.79</v>
      </c>
      <c r="K16" s="11">
        <v>4.54</v>
      </c>
    </row>
    <row r="17" spans="1:11">
      <c r="A17" s="123"/>
      <c r="B17" s="10">
        <v>760</v>
      </c>
      <c r="C17" s="15">
        <v>7.0000000000000007E-2</v>
      </c>
      <c r="D17" s="15">
        <v>0.9</v>
      </c>
      <c r="E17" s="15">
        <v>3.6</v>
      </c>
      <c r="F17" s="15">
        <v>2.7</v>
      </c>
      <c r="G17" s="15">
        <v>2.25</v>
      </c>
      <c r="H17" s="10">
        <v>1.85</v>
      </c>
      <c r="I17" s="15">
        <v>1.04</v>
      </c>
      <c r="J17" s="15">
        <v>4.04</v>
      </c>
      <c r="K17" s="10">
        <v>6.08</v>
      </c>
    </row>
    <row r="18" spans="1:11">
      <c r="A18" s="123"/>
      <c r="B18" s="20">
        <v>910</v>
      </c>
      <c r="C18" s="15">
        <v>0.08</v>
      </c>
      <c r="D18" s="15">
        <v>1.06</v>
      </c>
      <c r="E18" s="15">
        <v>4.24</v>
      </c>
      <c r="F18" s="15">
        <v>2.86</v>
      </c>
      <c r="G18" s="15">
        <v>2.65</v>
      </c>
      <c r="H18" s="10">
        <v>2.0099999999999998</v>
      </c>
      <c r="I18" s="15">
        <v>1.1000000000000001</v>
      </c>
      <c r="J18" s="15">
        <v>5.36</v>
      </c>
      <c r="K18" s="10">
        <v>7.58</v>
      </c>
    </row>
    <row r="19" spans="1:11">
      <c r="A19" s="123"/>
      <c r="B19" s="20">
        <v>1060</v>
      </c>
      <c r="C19" s="15">
        <v>0.09</v>
      </c>
      <c r="D19" s="15">
        <v>1.24</v>
      </c>
      <c r="E19" s="15">
        <v>4.96</v>
      </c>
      <c r="F19" s="15">
        <v>3.04</v>
      </c>
      <c r="G19" s="15">
        <v>3.1</v>
      </c>
      <c r="H19" s="10">
        <v>2.19</v>
      </c>
      <c r="I19" s="15">
        <v>1.18</v>
      </c>
      <c r="J19" s="15">
        <v>7.13</v>
      </c>
      <c r="K19" s="10">
        <v>9.42</v>
      </c>
    </row>
    <row r="20" spans="1:11" ht="15.75" thickBot="1">
      <c r="A20" s="124"/>
      <c r="B20" s="21">
        <v>1220</v>
      </c>
      <c r="C20" s="16">
        <v>0.1</v>
      </c>
      <c r="D20" s="16">
        <v>1.42</v>
      </c>
      <c r="E20" s="16">
        <v>5.68</v>
      </c>
      <c r="F20" s="16">
        <v>3.22</v>
      </c>
      <c r="G20" s="16">
        <v>3.55</v>
      </c>
      <c r="H20" s="12">
        <v>2.37</v>
      </c>
      <c r="I20" s="16">
        <v>1.25</v>
      </c>
      <c r="J20" s="16">
        <v>9.19</v>
      </c>
      <c r="K20" s="12">
        <v>11.43</v>
      </c>
    </row>
    <row r="21" spans="1:11" ht="15.75" thickTop="1">
      <c r="A21" s="122" t="s">
        <v>19</v>
      </c>
      <c r="B21" s="11">
        <v>600</v>
      </c>
      <c r="C21" s="14">
        <v>0.06</v>
      </c>
      <c r="D21" s="14">
        <v>0.72</v>
      </c>
      <c r="E21" s="14">
        <v>4.42</v>
      </c>
      <c r="F21" s="14">
        <v>3.88</v>
      </c>
      <c r="G21" s="14">
        <v>1.95</v>
      </c>
      <c r="H21" s="11">
        <v>1.73</v>
      </c>
      <c r="I21" s="14">
        <v>0.99</v>
      </c>
      <c r="J21" s="14">
        <v>4.32</v>
      </c>
      <c r="K21" s="11">
        <v>7.57</v>
      </c>
    </row>
    <row r="22" spans="1:11">
      <c r="A22" s="123"/>
      <c r="B22" s="10">
        <v>760</v>
      </c>
      <c r="C22" s="15">
        <v>7.0000000000000007E-2</v>
      </c>
      <c r="D22" s="15">
        <v>0.9</v>
      </c>
      <c r="E22" s="15">
        <v>5.0999999999999996</v>
      </c>
      <c r="F22" s="15">
        <v>4.2</v>
      </c>
      <c r="G22" s="15">
        <v>2.25</v>
      </c>
      <c r="H22" s="10">
        <v>1.85</v>
      </c>
      <c r="I22" s="15">
        <v>1.04</v>
      </c>
      <c r="J22" s="15">
        <v>5.47</v>
      </c>
      <c r="K22" s="10">
        <v>9.4499999999999993</v>
      </c>
    </row>
    <row r="23" spans="1:11">
      <c r="A23" s="123"/>
      <c r="B23" s="20">
        <v>910</v>
      </c>
      <c r="C23" s="15">
        <v>0.08</v>
      </c>
      <c r="D23" s="15">
        <v>1.06</v>
      </c>
      <c r="E23" s="15">
        <v>6.01</v>
      </c>
      <c r="F23" s="15">
        <v>4.63</v>
      </c>
      <c r="G23" s="15">
        <v>2.65</v>
      </c>
      <c r="H23" s="10">
        <v>2.0099999999999998</v>
      </c>
      <c r="I23" s="15">
        <v>1.1000000000000001</v>
      </c>
      <c r="J23" s="15">
        <v>7.24</v>
      </c>
      <c r="K23" s="10">
        <v>12.26</v>
      </c>
    </row>
    <row r="24" spans="1:11">
      <c r="A24" s="123"/>
      <c r="B24" s="20">
        <v>1060</v>
      </c>
      <c r="C24" s="15">
        <v>0.09</v>
      </c>
      <c r="D24" s="15">
        <v>1.24</v>
      </c>
      <c r="E24" s="15">
        <v>7.03</v>
      </c>
      <c r="F24" s="15">
        <v>5.1100000000000003</v>
      </c>
      <c r="G24" s="15">
        <v>3.1</v>
      </c>
      <c r="H24" s="10">
        <v>2.19</v>
      </c>
      <c r="I24" s="15">
        <v>1.18</v>
      </c>
      <c r="J24" s="15">
        <v>9.57</v>
      </c>
      <c r="K24" s="10">
        <v>45.83</v>
      </c>
    </row>
    <row r="25" spans="1:11" ht="15.75" thickBot="1">
      <c r="A25" s="124"/>
      <c r="B25" s="21">
        <v>1220</v>
      </c>
      <c r="C25" s="16">
        <v>0.1</v>
      </c>
      <c r="D25" s="16">
        <v>1.42</v>
      </c>
      <c r="E25" s="16">
        <v>8.0500000000000007</v>
      </c>
      <c r="F25" s="16">
        <v>5.59</v>
      </c>
      <c r="G25" s="16">
        <v>3.55</v>
      </c>
      <c r="H25" s="12">
        <v>2.37</v>
      </c>
      <c r="I25" s="16">
        <v>1.25</v>
      </c>
      <c r="J25" s="16">
        <v>12.31</v>
      </c>
      <c r="K25" s="12">
        <v>19.829999999999998</v>
      </c>
    </row>
    <row r="26" spans="1:11" ht="15.75" thickTop="1">
      <c r="A26" s="122" t="s">
        <v>20</v>
      </c>
      <c r="B26" s="11">
        <v>600</v>
      </c>
      <c r="C26" s="14">
        <v>0.06</v>
      </c>
      <c r="D26" s="14">
        <v>0.72</v>
      </c>
      <c r="E26" s="14">
        <v>5.28</v>
      </c>
      <c r="F26" s="14">
        <v>4.92</v>
      </c>
      <c r="G26" s="14">
        <v>1.8</v>
      </c>
      <c r="H26" s="11">
        <v>1.67</v>
      </c>
      <c r="I26" s="14">
        <v>0.97</v>
      </c>
      <c r="J26" s="14">
        <v>4.82</v>
      </c>
      <c r="K26" s="11">
        <v>8.86</v>
      </c>
    </row>
    <row r="27" spans="1:11">
      <c r="A27" s="123"/>
      <c r="B27" s="10">
        <v>760</v>
      </c>
      <c r="C27" s="15">
        <v>7.0000000000000007E-2</v>
      </c>
      <c r="D27" s="15">
        <v>0.9</v>
      </c>
      <c r="E27" s="15">
        <v>6.6</v>
      </c>
      <c r="F27" s="15">
        <v>5.7</v>
      </c>
      <c r="G27" s="15">
        <v>2.25</v>
      </c>
      <c r="H27" s="10">
        <v>1.85</v>
      </c>
      <c r="I27" s="15">
        <v>1.04</v>
      </c>
      <c r="J27" s="15">
        <v>6.9</v>
      </c>
      <c r="K27" s="10">
        <v>12.83</v>
      </c>
    </row>
    <row r="28" spans="1:11">
      <c r="A28" s="123"/>
      <c r="B28" s="20">
        <v>910</v>
      </c>
      <c r="C28" s="15">
        <v>0.08</v>
      </c>
      <c r="D28" s="15">
        <v>1.06</v>
      </c>
      <c r="E28" s="15">
        <v>7.77</v>
      </c>
      <c r="F28" s="15">
        <v>6.39</v>
      </c>
      <c r="G28" s="15">
        <v>2.65</v>
      </c>
      <c r="H28" s="10">
        <v>2.0099999999999998</v>
      </c>
      <c r="I28" s="15">
        <v>1.1000000000000001</v>
      </c>
      <c r="J28" s="15">
        <v>9.11</v>
      </c>
      <c r="K28" s="10">
        <v>16.940000000000001</v>
      </c>
    </row>
    <row r="29" spans="1:11">
      <c r="A29" s="123"/>
      <c r="B29" s="20">
        <v>1060</v>
      </c>
      <c r="C29" s="15">
        <v>0.09</v>
      </c>
      <c r="D29" s="15">
        <v>1.24</v>
      </c>
      <c r="E29" s="15">
        <v>9.09</v>
      </c>
      <c r="F29" s="15">
        <v>7.17</v>
      </c>
      <c r="G29" s="15">
        <v>3.1</v>
      </c>
      <c r="H29" s="10">
        <v>2.19</v>
      </c>
      <c r="I29" s="15">
        <v>1.18</v>
      </c>
      <c r="J29" s="15">
        <v>12.02</v>
      </c>
      <c r="K29" s="10">
        <v>22.24</v>
      </c>
    </row>
    <row r="30" spans="1:11" ht="15.75" thickBot="1">
      <c r="A30" s="125"/>
      <c r="B30" s="21">
        <v>1220</v>
      </c>
      <c r="C30" s="16">
        <v>0.1</v>
      </c>
      <c r="D30" s="16">
        <v>1.42</v>
      </c>
      <c r="E30" s="16">
        <v>10.41</v>
      </c>
      <c r="F30" s="16">
        <v>7.95</v>
      </c>
      <c r="G30" s="16">
        <v>3.55</v>
      </c>
      <c r="H30" s="12">
        <v>2.37</v>
      </c>
      <c r="I30" s="16">
        <v>1.25</v>
      </c>
      <c r="J30" s="16">
        <v>15.42</v>
      </c>
      <c r="K30" s="12">
        <v>28.23</v>
      </c>
    </row>
    <row r="31" spans="1:11" ht="15.75" thickTop="1">
      <c r="A31" s="13"/>
    </row>
    <row r="32" spans="1:11" ht="15.75" thickBot="1">
      <c r="A32" s="18"/>
    </row>
    <row r="33" spans="1:14" ht="16.5" thickTop="1" thickBot="1">
      <c r="A33" s="18"/>
      <c r="M33" s="131" t="s">
        <v>27</v>
      </c>
      <c r="N33" s="131"/>
    </row>
    <row r="34" spans="1:14" ht="17.25" customHeight="1" thickTop="1" thickBot="1">
      <c r="A34" s="132" t="s">
        <v>5</v>
      </c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3" t="s">
        <v>16</v>
      </c>
      <c r="N34" s="123" t="s">
        <v>17</v>
      </c>
    </row>
    <row r="35" spans="1:14" ht="24" customHeight="1" thickTop="1">
      <c r="A35" s="129"/>
      <c r="B35" s="130" t="s">
        <v>8</v>
      </c>
      <c r="C35" s="117" t="s">
        <v>12</v>
      </c>
      <c r="D35" s="117" t="s">
        <v>11</v>
      </c>
      <c r="E35" s="117" t="s">
        <v>13</v>
      </c>
      <c r="F35" s="117" t="s">
        <v>21</v>
      </c>
      <c r="G35" s="117" t="s">
        <v>28</v>
      </c>
      <c r="H35" s="117" t="s">
        <v>14</v>
      </c>
      <c r="I35" s="117" t="s">
        <v>9</v>
      </c>
      <c r="J35" s="117" t="s">
        <v>23</v>
      </c>
      <c r="K35" s="118" t="s">
        <v>15</v>
      </c>
      <c r="L35" s="118" t="s">
        <v>24</v>
      </c>
      <c r="M35" s="123"/>
      <c r="N35" s="123"/>
    </row>
    <row r="36" spans="1:14" ht="24" customHeight="1" thickBot="1">
      <c r="A36" s="121"/>
      <c r="B36" s="128"/>
      <c r="C36" s="116"/>
      <c r="D36" s="116"/>
      <c r="E36" s="116"/>
      <c r="F36" s="116"/>
      <c r="G36" s="116"/>
      <c r="H36" s="116"/>
      <c r="I36" s="116"/>
      <c r="J36" s="116"/>
      <c r="K36" s="119"/>
      <c r="L36" s="119"/>
      <c r="M36" s="124"/>
      <c r="N36" s="124"/>
    </row>
    <row r="37" spans="1:14" ht="15.75" thickTop="1">
      <c r="A37" s="122" t="s">
        <v>18</v>
      </c>
      <c r="B37" s="11">
        <v>600</v>
      </c>
      <c r="C37" s="14">
        <v>0.06</v>
      </c>
      <c r="D37" s="14">
        <v>0.72</v>
      </c>
      <c r="E37" s="14">
        <v>1.32</v>
      </c>
      <c r="F37" s="14">
        <v>2.8</v>
      </c>
      <c r="G37" s="14">
        <v>1.55</v>
      </c>
      <c r="H37" s="14">
        <v>1.8</v>
      </c>
      <c r="I37" s="14">
        <v>1.67</v>
      </c>
      <c r="J37" s="11">
        <v>1.32</v>
      </c>
      <c r="K37" s="14">
        <v>0.97</v>
      </c>
      <c r="L37" s="14">
        <v>0.83</v>
      </c>
      <c r="M37" s="14">
        <v>3.22</v>
      </c>
      <c r="N37" s="14">
        <v>3.17</v>
      </c>
    </row>
    <row r="38" spans="1:14">
      <c r="A38" s="123"/>
      <c r="B38" s="10">
        <v>760</v>
      </c>
      <c r="C38" s="15">
        <v>7.0000000000000007E-2</v>
      </c>
      <c r="D38" s="15">
        <v>0.9</v>
      </c>
      <c r="E38" s="15">
        <v>1.5</v>
      </c>
      <c r="F38" s="15">
        <v>3.5</v>
      </c>
      <c r="G38" s="15">
        <v>1.8</v>
      </c>
      <c r="H38" s="15">
        <v>2.25</v>
      </c>
      <c r="I38" s="15">
        <v>1.85</v>
      </c>
      <c r="J38" s="10">
        <v>1.5</v>
      </c>
      <c r="K38" s="15">
        <v>1.04</v>
      </c>
      <c r="L38" s="15">
        <v>0.9</v>
      </c>
      <c r="M38" s="15">
        <v>4.43</v>
      </c>
      <c r="N38" s="15">
        <v>4.95</v>
      </c>
    </row>
    <row r="39" spans="1:14">
      <c r="A39" s="123"/>
      <c r="B39" s="20">
        <v>910</v>
      </c>
      <c r="C39" s="15">
        <v>0.08</v>
      </c>
      <c r="D39" s="15">
        <v>1.06</v>
      </c>
      <c r="E39" s="15">
        <v>1.66</v>
      </c>
      <c r="F39" s="15">
        <v>4.12</v>
      </c>
      <c r="G39" s="15">
        <v>2.02</v>
      </c>
      <c r="H39" s="15">
        <v>2.65</v>
      </c>
      <c r="I39" s="15">
        <v>2.0099999999999998</v>
      </c>
      <c r="J39" s="10">
        <v>1.66</v>
      </c>
      <c r="K39" s="15">
        <v>1.1000000000000001</v>
      </c>
      <c r="L39" s="15">
        <v>0.96</v>
      </c>
      <c r="M39" s="15">
        <v>5.67</v>
      </c>
      <c r="N39" s="15">
        <v>6.86</v>
      </c>
    </row>
    <row r="40" spans="1:14">
      <c r="A40" s="123"/>
      <c r="B40" s="20">
        <v>1060</v>
      </c>
      <c r="C40" s="15">
        <v>0.09</v>
      </c>
      <c r="D40" s="15">
        <v>1.24</v>
      </c>
      <c r="E40" s="15">
        <v>1.84</v>
      </c>
      <c r="F40" s="15">
        <v>4.82</v>
      </c>
      <c r="G40" s="15">
        <v>2.2799999999999998</v>
      </c>
      <c r="H40" s="15">
        <v>3.1</v>
      </c>
      <c r="I40" s="15">
        <v>2.19</v>
      </c>
      <c r="J40" s="10">
        <v>1.84</v>
      </c>
      <c r="K40" s="15">
        <v>1.18</v>
      </c>
      <c r="L40" s="15">
        <v>1.04</v>
      </c>
      <c r="M40" s="15">
        <v>7.28</v>
      </c>
      <c r="N40" s="15">
        <v>9.39</v>
      </c>
    </row>
    <row r="41" spans="1:14" ht="15.75" thickBot="1">
      <c r="A41" s="124"/>
      <c r="B41" s="21">
        <v>1220</v>
      </c>
      <c r="C41" s="16">
        <v>0.1</v>
      </c>
      <c r="D41" s="16">
        <v>1.42</v>
      </c>
      <c r="E41" s="16">
        <v>2.02</v>
      </c>
      <c r="F41" s="16">
        <v>5.52</v>
      </c>
      <c r="G41" s="16">
        <v>2.5299999999999998</v>
      </c>
      <c r="H41" s="16">
        <v>3.55</v>
      </c>
      <c r="I41" s="16">
        <v>2.37</v>
      </c>
      <c r="J41" s="12">
        <v>2.02</v>
      </c>
      <c r="K41" s="16">
        <v>1.25</v>
      </c>
      <c r="L41" s="16">
        <v>1.1100000000000001</v>
      </c>
      <c r="M41" s="16">
        <v>9.1199999999999992</v>
      </c>
      <c r="N41" s="16">
        <v>12.32</v>
      </c>
    </row>
    <row r="42" spans="1:14" ht="15.75" thickTop="1">
      <c r="A42" s="122" t="s">
        <v>19</v>
      </c>
      <c r="B42" s="11">
        <v>600</v>
      </c>
      <c r="C42" s="14">
        <v>0.06</v>
      </c>
      <c r="D42" s="14">
        <v>0.72</v>
      </c>
      <c r="E42" s="14">
        <v>2.52</v>
      </c>
      <c r="F42" s="14">
        <v>4</v>
      </c>
      <c r="G42" s="14">
        <v>2.75</v>
      </c>
      <c r="H42" s="14">
        <v>1.8</v>
      </c>
      <c r="I42" s="14">
        <v>1.67</v>
      </c>
      <c r="J42" s="11">
        <v>1.32</v>
      </c>
      <c r="K42" s="14">
        <v>0.97</v>
      </c>
      <c r="L42" s="14">
        <v>0.83</v>
      </c>
      <c r="M42" s="14">
        <v>3.97</v>
      </c>
      <c r="N42" s="14">
        <v>5.33</v>
      </c>
    </row>
    <row r="43" spans="1:14">
      <c r="A43" s="123"/>
      <c r="B43" s="10">
        <v>760</v>
      </c>
      <c r="C43" s="15">
        <v>7.0000000000000007E-2</v>
      </c>
      <c r="D43" s="15">
        <v>0.9</v>
      </c>
      <c r="E43" s="15">
        <v>3</v>
      </c>
      <c r="F43" s="15">
        <v>5</v>
      </c>
      <c r="G43" s="15">
        <v>3.3</v>
      </c>
      <c r="H43" s="15">
        <v>2.25</v>
      </c>
      <c r="I43" s="15">
        <v>1.85</v>
      </c>
      <c r="J43" s="10">
        <v>1.5</v>
      </c>
      <c r="K43" s="15">
        <v>1.04</v>
      </c>
      <c r="L43" s="15">
        <v>0.9</v>
      </c>
      <c r="M43" s="15">
        <v>5.51</v>
      </c>
      <c r="N43" s="15">
        <v>8.32</v>
      </c>
    </row>
    <row r="44" spans="1:14">
      <c r="A44" s="123"/>
      <c r="B44" s="20">
        <v>910</v>
      </c>
      <c r="C44" s="15">
        <v>0.08</v>
      </c>
      <c r="D44" s="15">
        <v>1.06</v>
      </c>
      <c r="E44" s="15">
        <v>3.43</v>
      </c>
      <c r="F44" s="15">
        <v>5.89</v>
      </c>
      <c r="G44" s="15">
        <v>3.79</v>
      </c>
      <c r="H44" s="15">
        <v>2.65</v>
      </c>
      <c r="I44" s="15">
        <v>2.0099999999999998</v>
      </c>
      <c r="J44" s="10">
        <v>1.66</v>
      </c>
      <c r="K44" s="15">
        <v>1.1000000000000001</v>
      </c>
      <c r="L44" s="15">
        <v>0.96</v>
      </c>
      <c r="M44" s="15">
        <v>7.11</v>
      </c>
      <c r="N44" s="15">
        <v>11.55</v>
      </c>
    </row>
    <row r="45" spans="1:14">
      <c r="A45" s="123"/>
      <c r="B45" s="20">
        <v>1060</v>
      </c>
      <c r="C45" s="15">
        <v>0.09</v>
      </c>
      <c r="D45" s="15">
        <v>1.24</v>
      </c>
      <c r="E45" s="15">
        <v>3.91</v>
      </c>
      <c r="F45" s="15">
        <v>6.89</v>
      </c>
      <c r="G45" s="15">
        <v>4.34</v>
      </c>
      <c r="H45" s="15">
        <v>3.1</v>
      </c>
      <c r="I45" s="15">
        <v>2.19</v>
      </c>
      <c r="J45" s="10">
        <v>1.84</v>
      </c>
      <c r="K45" s="15">
        <v>1.18</v>
      </c>
      <c r="L45" s="15">
        <v>1.04</v>
      </c>
      <c r="M45" s="15">
        <v>9.1999999999999993</v>
      </c>
      <c r="N45" s="15">
        <v>15.8</v>
      </c>
    </row>
    <row r="46" spans="1:14" ht="15.75" thickBot="1">
      <c r="A46" s="124"/>
      <c r="B46" s="21">
        <v>1220</v>
      </c>
      <c r="C46" s="16">
        <v>0.1</v>
      </c>
      <c r="D46" s="16">
        <v>1.42</v>
      </c>
      <c r="E46" s="16">
        <v>4.3899999999999997</v>
      </c>
      <c r="F46" s="16">
        <v>7.89</v>
      </c>
      <c r="G46" s="16">
        <v>4.8899999999999997</v>
      </c>
      <c r="H46" s="16">
        <v>3.55</v>
      </c>
      <c r="I46" s="16">
        <v>2.37</v>
      </c>
      <c r="J46" s="12">
        <v>2.02</v>
      </c>
      <c r="K46" s="16">
        <v>1.25</v>
      </c>
      <c r="L46" s="16">
        <v>1.1100000000000001</v>
      </c>
      <c r="M46" s="16">
        <v>11.59</v>
      </c>
      <c r="N46" s="16">
        <v>20.72</v>
      </c>
    </row>
    <row r="47" spans="1:14" ht="15.75" thickTop="1">
      <c r="A47" s="122" t="s">
        <v>20</v>
      </c>
      <c r="B47" s="11">
        <v>600</v>
      </c>
      <c r="C47" s="14">
        <v>0.06</v>
      </c>
      <c r="D47" s="14">
        <v>0.72</v>
      </c>
      <c r="E47" s="14">
        <v>3.72</v>
      </c>
      <c r="F47" s="14">
        <v>5.2</v>
      </c>
      <c r="G47" s="14">
        <v>3.95</v>
      </c>
      <c r="H47" s="14">
        <v>1.8</v>
      </c>
      <c r="I47" s="14">
        <v>1.67</v>
      </c>
      <c r="J47" s="11">
        <v>1.32</v>
      </c>
      <c r="K47" s="14">
        <v>0.97</v>
      </c>
      <c r="L47" s="14">
        <v>0.83</v>
      </c>
      <c r="M47" s="14">
        <v>4.71</v>
      </c>
      <c r="N47" s="14">
        <v>7.49</v>
      </c>
    </row>
    <row r="48" spans="1:14">
      <c r="A48" s="123"/>
      <c r="B48" s="10">
        <v>760</v>
      </c>
      <c r="C48" s="15">
        <v>7.0000000000000007E-2</v>
      </c>
      <c r="D48" s="15">
        <v>0.9</v>
      </c>
      <c r="E48" s="15">
        <v>4.5</v>
      </c>
      <c r="F48" s="15">
        <v>6.5</v>
      </c>
      <c r="G48" s="15">
        <v>4.8</v>
      </c>
      <c r="H48" s="15">
        <v>2.25</v>
      </c>
      <c r="I48" s="15">
        <v>1.85</v>
      </c>
      <c r="J48" s="10">
        <v>1.5</v>
      </c>
      <c r="K48" s="15">
        <v>1.04</v>
      </c>
      <c r="L48" s="15">
        <v>0.9</v>
      </c>
      <c r="M48" s="15">
        <v>6.59</v>
      </c>
      <c r="N48" s="15">
        <v>11.7</v>
      </c>
    </row>
    <row r="49" spans="1:15">
      <c r="A49" s="123"/>
      <c r="B49" s="20">
        <v>910</v>
      </c>
      <c r="C49" s="15">
        <v>0.08</v>
      </c>
      <c r="D49" s="15">
        <v>1.06</v>
      </c>
      <c r="E49" s="15">
        <v>5.19</v>
      </c>
      <c r="F49" s="15">
        <v>7.65</v>
      </c>
      <c r="G49" s="15">
        <v>5.56</v>
      </c>
      <c r="H49" s="15">
        <v>2.65</v>
      </c>
      <c r="I49" s="15">
        <v>2.0099999999999998</v>
      </c>
      <c r="J49" s="10">
        <v>1.66</v>
      </c>
      <c r="K49" s="15">
        <v>1.1000000000000001</v>
      </c>
      <c r="L49" s="15">
        <v>0.96</v>
      </c>
      <c r="M49" s="15">
        <v>8.5500000000000007</v>
      </c>
      <c r="N49" s="15">
        <v>16.23</v>
      </c>
    </row>
    <row r="50" spans="1:15">
      <c r="A50" s="123"/>
      <c r="B50" s="20">
        <v>1060</v>
      </c>
      <c r="C50" s="15">
        <v>0.09</v>
      </c>
      <c r="D50" s="15">
        <v>1.24</v>
      </c>
      <c r="E50" s="15">
        <v>5.97</v>
      </c>
      <c r="F50" s="15">
        <v>8.9499999999999993</v>
      </c>
      <c r="G50" s="15">
        <v>6.41</v>
      </c>
      <c r="H50" s="15">
        <v>3.1</v>
      </c>
      <c r="I50" s="15">
        <v>2.19</v>
      </c>
      <c r="J50" s="10">
        <v>1.84</v>
      </c>
      <c r="K50" s="15">
        <v>1.18</v>
      </c>
      <c r="L50" s="15">
        <v>1.04</v>
      </c>
      <c r="M50" s="15">
        <v>11.11</v>
      </c>
      <c r="N50" s="15">
        <v>22.21</v>
      </c>
    </row>
    <row r="51" spans="1:15" ht="15.75" thickBot="1">
      <c r="A51" s="125"/>
      <c r="B51" s="21">
        <v>1220</v>
      </c>
      <c r="C51" s="16">
        <v>0.1</v>
      </c>
      <c r="D51" s="16">
        <v>1.42</v>
      </c>
      <c r="E51" s="16">
        <v>6.75</v>
      </c>
      <c r="F51" s="16">
        <v>10.25</v>
      </c>
      <c r="G51" s="16">
        <v>7.26</v>
      </c>
      <c r="H51" s="16">
        <v>3.55</v>
      </c>
      <c r="I51" s="16">
        <v>2.37</v>
      </c>
      <c r="J51" s="12">
        <v>2.02</v>
      </c>
      <c r="K51" s="16">
        <v>1.25</v>
      </c>
      <c r="L51" s="16">
        <v>1.1100000000000001</v>
      </c>
      <c r="M51" s="16">
        <v>14.08</v>
      </c>
      <c r="N51" s="16">
        <v>29.12</v>
      </c>
    </row>
    <row r="52" spans="1:15" ht="15.75" thickTop="1">
      <c r="A52" s="13"/>
    </row>
    <row r="53" spans="1:15" ht="15.75" thickBot="1">
      <c r="A53" s="18"/>
    </row>
    <row r="54" spans="1:15" ht="16.5" thickTop="1" thickBot="1">
      <c r="A54" s="18"/>
      <c r="N54" s="131" t="s">
        <v>27</v>
      </c>
      <c r="O54" s="131"/>
    </row>
    <row r="55" spans="1:15" ht="15.75" customHeight="1" thickTop="1" thickBot="1">
      <c r="A55" s="132" t="s">
        <v>7</v>
      </c>
      <c r="B55" s="132"/>
      <c r="C55" s="132"/>
      <c r="D55" s="132"/>
      <c r="E55" s="132"/>
      <c r="F55" s="132"/>
      <c r="G55" s="132"/>
      <c r="H55" s="132"/>
      <c r="I55" s="132"/>
      <c r="J55" s="132"/>
      <c r="K55" s="132"/>
      <c r="L55" s="132"/>
      <c r="M55" s="132"/>
      <c r="N55" s="133" t="s">
        <v>16</v>
      </c>
      <c r="O55" s="123" t="s">
        <v>17</v>
      </c>
    </row>
    <row r="56" spans="1:15" ht="22.5" customHeight="1" thickTop="1">
      <c r="A56" s="129"/>
      <c r="B56" s="130" t="s">
        <v>8</v>
      </c>
      <c r="C56" s="117" t="s">
        <v>12</v>
      </c>
      <c r="D56" s="117" t="s">
        <v>11</v>
      </c>
      <c r="E56" s="117" t="s">
        <v>13</v>
      </c>
      <c r="F56" s="117" t="s">
        <v>21</v>
      </c>
      <c r="G56" s="117" t="s">
        <v>28</v>
      </c>
      <c r="H56" s="117" t="s">
        <v>14</v>
      </c>
      <c r="I56" s="117" t="s">
        <v>22</v>
      </c>
      <c r="J56" s="117" t="s">
        <v>9</v>
      </c>
      <c r="K56" s="117" t="s">
        <v>23</v>
      </c>
      <c r="L56" s="117" t="s">
        <v>15</v>
      </c>
      <c r="M56" s="117" t="s">
        <v>24</v>
      </c>
      <c r="N56" s="123"/>
      <c r="O56" s="123"/>
    </row>
    <row r="57" spans="1:15" ht="22.5" customHeight="1" thickBot="1">
      <c r="A57" s="121"/>
      <c r="B57" s="128"/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24"/>
      <c r="O57" s="124"/>
    </row>
    <row r="58" spans="1:15" ht="15.75" thickTop="1">
      <c r="A58" s="122" t="s">
        <v>18</v>
      </c>
      <c r="B58" s="11">
        <v>600</v>
      </c>
      <c r="C58" s="14">
        <v>0.06</v>
      </c>
      <c r="D58" s="14">
        <v>0.72</v>
      </c>
      <c r="E58" s="14">
        <v>2.63</v>
      </c>
      <c r="F58" s="14">
        <v>1.8</v>
      </c>
      <c r="G58" s="14">
        <v>1.62</v>
      </c>
      <c r="H58" s="14">
        <v>2.69</v>
      </c>
      <c r="I58" s="14">
        <v>1.72</v>
      </c>
      <c r="J58" s="14">
        <v>1.67</v>
      </c>
      <c r="K58" s="11">
        <v>1.32</v>
      </c>
      <c r="L58" s="14">
        <v>0.97</v>
      </c>
      <c r="M58" s="14">
        <v>0.83</v>
      </c>
      <c r="N58" s="15">
        <v>3.73</v>
      </c>
      <c r="O58" s="15">
        <v>2.2999999999999998</v>
      </c>
    </row>
    <row r="59" spans="1:15">
      <c r="A59" s="123"/>
      <c r="B59" s="10">
        <v>760</v>
      </c>
      <c r="C59" s="15">
        <v>7.0000000000000007E-2</v>
      </c>
      <c r="D59" s="15">
        <v>0.9</v>
      </c>
      <c r="E59" s="15">
        <v>3.15</v>
      </c>
      <c r="F59" s="15">
        <v>2.25</v>
      </c>
      <c r="G59" s="15">
        <v>1.8</v>
      </c>
      <c r="H59" s="15">
        <v>2.94</v>
      </c>
      <c r="I59" s="15">
        <v>1.9</v>
      </c>
      <c r="J59" s="15">
        <v>1.85</v>
      </c>
      <c r="K59" s="10">
        <v>1.5</v>
      </c>
      <c r="L59" s="15">
        <v>1.04</v>
      </c>
      <c r="M59" s="15">
        <v>0.9</v>
      </c>
      <c r="N59" s="15">
        <v>5.0999999999999996</v>
      </c>
      <c r="O59" s="15">
        <v>2.88</v>
      </c>
    </row>
    <row r="60" spans="1:15">
      <c r="A60" s="123"/>
      <c r="B60" s="20">
        <v>910</v>
      </c>
      <c r="C60" s="15">
        <v>0.08</v>
      </c>
      <c r="D60" s="15">
        <v>1.06</v>
      </c>
      <c r="E60" s="15">
        <v>3.61</v>
      </c>
      <c r="F60" s="15">
        <v>2.65</v>
      </c>
      <c r="G60" s="15">
        <v>1.96</v>
      </c>
      <c r="H60" s="15">
        <v>3.16</v>
      </c>
      <c r="I60" s="15">
        <v>2.06</v>
      </c>
      <c r="J60" s="15">
        <v>2.0099999999999998</v>
      </c>
      <c r="K60" s="10">
        <v>1.66</v>
      </c>
      <c r="L60" s="15">
        <v>1.1000000000000001</v>
      </c>
      <c r="M60" s="15">
        <v>0.96</v>
      </c>
      <c r="N60" s="15">
        <v>6.54</v>
      </c>
      <c r="O60" s="15">
        <v>3.45</v>
      </c>
    </row>
    <row r="61" spans="1:15">
      <c r="A61" s="123"/>
      <c r="B61" s="20">
        <v>1060</v>
      </c>
      <c r="C61" s="15">
        <v>0.09</v>
      </c>
      <c r="D61" s="15">
        <v>1.24</v>
      </c>
      <c r="E61" s="15">
        <v>4.1399999999999997</v>
      </c>
      <c r="F61" s="15">
        <v>3.1</v>
      </c>
      <c r="G61" s="15">
        <v>2.14</v>
      </c>
      <c r="H61" s="15">
        <v>3.42</v>
      </c>
      <c r="I61" s="15">
        <v>2.2400000000000002</v>
      </c>
      <c r="J61" s="15">
        <v>2.19</v>
      </c>
      <c r="K61" s="10">
        <v>1.84</v>
      </c>
      <c r="L61" s="15">
        <v>1.18</v>
      </c>
      <c r="M61" s="15">
        <v>1.04</v>
      </c>
      <c r="N61" s="15">
        <v>8.43</v>
      </c>
      <c r="O61" s="15">
        <v>4.1500000000000004</v>
      </c>
    </row>
    <row r="62" spans="1:15" ht="15.75" thickBot="1">
      <c r="A62" s="124"/>
      <c r="B62" s="21">
        <v>1220</v>
      </c>
      <c r="C62" s="16">
        <v>0.1</v>
      </c>
      <c r="D62" s="16">
        <v>1.42</v>
      </c>
      <c r="E62" s="16">
        <v>4.66</v>
      </c>
      <c r="F62" s="16">
        <v>3.55</v>
      </c>
      <c r="G62" s="16">
        <v>2.3199999999999998</v>
      </c>
      <c r="H62" s="16">
        <v>3.67</v>
      </c>
      <c r="I62" s="16">
        <v>2.42</v>
      </c>
      <c r="J62" s="16">
        <v>2.37</v>
      </c>
      <c r="K62" s="12">
        <v>2.02</v>
      </c>
      <c r="L62" s="16">
        <v>1.25</v>
      </c>
      <c r="M62" s="16">
        <v>1.1000000000000001</v>
      </c>
      <c r="N62" s="16">
        <v>10.63</v>
      </c>
      <c r="O62" s="16">
        <v>4.92</v>
      </c>
    </row>
    <row r="63" spans="1:15" ht="15.75" thickTop="1">
      <c r="A63" s="122" t="s">
        <v>19</v>
      </c>
      <c r="B63" s="11">
        <v>600</v>
      </c>
      <c r="C63" s="14">
        <v>0.06</v>
      </c>
      <c r="D63" s="14">
        <v>0.72</v>
      </c>
      <c r="E63" s="14">
        <v>3.83</v>
      </c>
      <c r="F63" s="14">
        <v>3</v>
      </c>
      <c r="G63" s="14">
        <v>2.82</v>
      </c>
      <c r="H63" s="14">
        <v>2.69</v>
      </c>
      <c r="I63" s="14">
        <v>1.72</v>
      </c>
      <c r="J63" s="14">
        <v>1.67</v>
      </c>
      <c r="K63" s="11">
        <v>1.32</v>
      </c>
      <c r="L63" s="14">
        <v>0.97</v>
      </c>
      <c r="M63" s="14">
        <v>0.83</v>
      </c>
      <c r="N63" s="14">
        <v>4.74</v>
      </c>
      <c r="O63" s="14">
        <v>4</v>
      </c>
    </row>
    <row r="64" spans="1:15">
      <c r="A64" s="123"/>
      <c r="B64" s="10">
        <v>760</v>
      </c>
      <c r="C64" s="15">
        <v>7.0000000000000007E-2</v>
      </c>
      <c r="D64" s="15">
        <v>0.9</v>
      </c>
      <c r="E64" s="15">
        <v>4.6500000000000004</v>
      </c>
      <c r="F64" s="15">
        <v>3.75</v>
      </c>
      <c r="G64" s="15">
        <v>3.3</v>
      </c>
      <c r="H64" s="15">
        <v>2.94</v>
      </c>
      <c r="I64" s="15">
        <v>1.9</v>
      </c>
      <c r="J64" s="15">
        <v>1.85</v>
      </c>
      <c r="K64" s="10">
        <v>1.5</v>
      </c>
      <c r="L64" s="15">
        <v>1.04</v>
      </c>
      <c r="M64" s="15">
        <v>0.9</v>
      </c>
      <c r="N64" s="15">
        <v>6.53</v>
      </c>
      <c r="O64" s="15">
        <v>5.28</v>
      </c>
    </row>
    <row r="65" spans="1:15">
      <c r="A65" s="123"/>
      <c r="B65" s="20">
        <v>910</v>
      </c>
      <c r="C65" s="15">
        <v>0.08</v>
      </c>
      <c r="D65" s="15">
        <v>1.06</v>
      </c>
      <c r="E65" s="15">
        <v>5.38</v>
      </c>
      <c r="F65" s="15">
        <v>4.42</v>
      </c>
      <c r="G65" s="15">
        <v>3.73</v>
      </c>
      <c r="H65" s="15">
        <v>3.16</v>
      </c>
      <c r="I65" s="15">
        <v>2.06</v>
      </c>
      <c r="J65" s="15">
        <v>2.0099999999999998</v>
      </c>
      <c r="K65" s="10">
        <v>1.66</v>
      </c>
      <c r="L65" s="15">
        <v>1.1000000000000001</v>
      </c>
      <c r="M65" s="15">
        <v>0.96</v>
      </c>
      <c r="N65" s="15">
        <v>8.41</v>
      </c>
      <c r="O65" s="15">
        <v>6.56</v>
      </c>
    </row>
    <row r="66" spans="1:15">
      <c r="A66" s="123"/>
      <c r="B66" s="20">
        <v>1060</v>
      </c>
      <c r="C66" s="15">
        <v>0.09</v>
      </c>
      <c r="D66" s="15">
        <v>1.24</v>
      </c>
      <c r="E66" s="15">
        <v>6.2</v>
      </c>
      <c r="F66" s="15">
        <v>5.17</v>
      </c>
      <c r="G66" s="15">
        <v>4.21</v>
      </c>
      <c r="H66" s="15">
        <v>3.42</v>
      </c>
      <c r="I66" s="15">
        <v>2.2400000000000002</v>
      </c>
      <c r="J66" s="15">
        <v>2.19</v>
      </c>
      <c r="K66" s="10">
        <v>1.84</v>
      </c>
      <c r="L66" s="15">
        <v>1.18</v>
      </c>
      <c r="M66" s="15">
        <v>1.04</v>
      </c>
      <c r="N66" s="15">
        <v>10.88</v>
      </c>
      <c r="O66" s="15">
        <v>8.16</v>
      </c>
    </row>
    <row r="67" spans="1:15" ht="15.75" thickBot="1">
      <c r="A67" s="124"/>
      <c r="B67" s="21">
        <v>1220</v>
      </c>
      <c r="C67" s="16">
        <v>0.1</v>
      </c>
      <c r="D67" s="16">
        <v>1.42</v>
      </c>
      <c r="E67" s="16">
        <v>7.02</v>
      </c>
      <c r="F67" s="16">
        <v>5.92</v>
      </c>
      <c r="G67" s="16">
        <v>4.6900000000000004</v>
      </c>
      <c r="H67" s="16">
        <v>3.67</v>
      </c>
      <c r="I67" s="16">
        <v>2.42</v>
      </c>
      <c r="J67" s="16">
        <v>2.37</v>
      </c>
      <c r="K67" s="12">
        <v>2.02</v>
      </c>
      <c r="L67" s="16">
        <v>1.25</v>
      </c>
      <c r="M67" s="16">
        <v>1.1100000000000001</v>
      </c>
      <c r="N67" s="16">
        <v>13.75</v>
      </c>
      <c r="O67" s="16">
        <v>9.94</v>
      </c>
    </row>
    <row r="68" spans="1:15" ht="15.75" customHeight="1" thickTop="1">
      <c r="A68" s="122" t="s">
        <v>20</v>
      </c>
      <c r="B68" s="11">
        <v>600</v>
      </c>
      <c r="C68" s="14">
        <v>0.06</v>
      </c>
      <c r="D68" s="14">
        <v>0.72</v>
      </c>
      <c r="E68" s="14">
        <v>5.03</v>
      </c>
      <c r="F68" s="14">
        <v>4.2</v>
      </c>
      <c r="G68" s="14">
        <v>4.0199999999999996</v>
      </c>
      <c r="H68" s="14">
        <v>2.69</v>
      </c>
      <c r="I68" s="14">
        <v>1.72</v>
      </c>
      <c r="J68" s="14">
        <v>1.67</v>
      </c>
      <c r="K68" s="11">
        <v>1.32</v>
      </c>
      <c r="L68" s="14">
        <v>0.97</v>
      </c>
      <c r="M68" s="14">
        <v>0.83</v>
      </c>
      <c r="N68" s="14">
        <v>5.75</v>
      </c>
      <c r="O68" s="14">
        <v>5.71</v>
      </c>
    </row>
    <row r="69" spans="1:15">
      <c r="A69" s="123"/>
      <c r="B69" s="10">
        <v>760</v>
      </c>
      <c r="C69" s="15">
        <v>7.0000000000000007E-2</v>
      </c>
      <c r="D69" s="15">
        <v>0.9</v>
      </c>
      <c r="E69" s="15">
        <v>6.15</v>
      </c>
      <c r="F69" s="15">
        <v>5.25</v>
      </c>
      <c r="G69" s="15">
        <v>4.8</v>
      </c>
      <c r="H69" s="15">
        <v>2.94</v>
      </c>
      <c r="I69" s="15">
        <v>1.9</v>
      </c>
      <c r="J69" s="15">
        <v>1.85</v>
      </c>
      <c r="K69" s="10">
        <v>1.5</v>
      </c>
      <c r="L69" s="15">
        <v>1.04</v>
      </c>
      <c r="M69" s="15">
        <v>0.9</v>
      </c>
      <c r="N69" s="15">
        <v>7.96</v>
      </c>
      <c r="O69" s="15">
        <v>7.68</v>
      </c>
    </row>
    <row r="70" spans="1:15">
      <c r="A70" s="123"/>
      <c r="B70" s="20">
        <v>910</v>
      </c>
      <c r="C70" s="15">
        <v>0.08</v>
      </c>
      <c r="D70" s="15">
        <v>1.06</v>
      </c>
      <c r="E70" s="15">
        <v>7.15</v>
      </c>
      <c r="F70" s="15">
        <v>6.18</v>
      </c>
      <c r="G70" s="15">
        <v>5.49</v>
      </c>
      <c r="H70" s="15">
        <v>3.16</v>
      </c>
      <c r="I70" s="15">
        <v>2.06</v>
      </c>
      <c r="J70" s="15">
        <v>2.0099999999999998</v>
      </c>
      <c r="K70" s="10">
        <v>1.66</v>
      </c>
      <c r="L70" s="15">
        <v>1.1000000000000001</v>
      </c>
      <c r="M70" s="15">
        <v>0.96</v>
      </c>
      <c r="N70" s="15">
        <v>10.29</v>
      </c>
      <c r="O70" s="15">
        <v>9.67</v>
      </c>
    </row>
    <row r="71" spans="1:15">
      <c r="A71" s="123"/>
      <c r="B71" s="20">
        <v>1060</v>
      </c>
      <c r="C71" s="15">
        <v>0.09</v>
      </c>
      <c r="D71" s="15">
        <v>1.24</v>
      </c>
      <c r="E71" s="15">
        <v>8.27</v>
      </c>
      <c r="F71" s="15">
        <v>7.23</v>
      </c>
      <c r="G71" s="15">
        <v>6.27</v>
      </c>
      <c r="H71" s="15">
        <v>3.42</v>
      </c>
      <c r="I71" s="15">
        <v>2.2400000000000002</v>
      </c>
      <c r="J71" s="15">
        <v>2.19</v>
      </c>
      <c r="K71" s="10">
        <v>1.84</v>
      </c>
      <c r="L71" s="15">
        <v>1.18</v>
      </c>
      <c r="M71" s="15">
        <v>1.04</v>
      </c>
      <c r="N71" s="15">
        <v>13.33</v>
      </c>
      <c r="O71" s="15">
        <v>12.17</v>
      </c>
    </row>
    <row r="72" spans="1:15" ht="15.75" thickBot="1">
      <c r="A72" s="124"/>
      <c r="B72" s="21">
        <v>1220</v>
      </c>
      <c r="C72" s="16">
        <v>0.1</v>
      </c>
      <c r="D72" s="16">
        <v>1.42</v>
      </c>
      <c r="E72" s="16">
        <v>9.39</v>
      </c>
      <c r="F72" s="16">
        <v>8.2799999999999994</v>
      </c>
      <c r="G72" s="16">
        <v>7.05</v>
      </c>
      <c r="H72" s="16">
        <v>3.67</v>
      </c>
      <c r="I72" s="16">
        <v>2.42</v>
      </c>
      <c r="J72" s="16">
        <v>2.37</v>
      </c>
      <c r="K72" s="12">
        <v>2.02</v>
      </c>
      <c r="L72" s="16">
        <v>1.25</v>
      </c>
      <c r="M72" s="16">
        <v>1.1100000000000001</v>
      </c>
      <c r="N72" s="16">
        <v>16.86</v>
      </c>
      <c r="O72" s="16">
        <v>14.95</v>
      </c>
    </row>
    <row r="73" spans="1:15" ht="15.75" thickTop="1">
      <c r="A73" s="17"/>
      <c r="B73" s="18"/>
      <c r="C73" s="19"/>
      <c r="D73" s="19"/>
      <c r="E73" s="19"/>
      <c r="F73" s="19"/>
      <c r="G73" s="19"/>
      <c r="H73" s="18"/>
      <c r="I73" s="19"/>
      <c r="J73" s="19"/>
      <c r="K73" s="18"/>
    </row>
    <row r="74" spans="1:15" ht="15.75" thickBot="1">
      <c r="B74" s="18"/>
      <c r="C74" s="19"/>
      <c r="D74" s="19"/>
      <c r="E74" s="19"/>
      <c r="F74" s="19"/>
      <c r="G74" s="19"/>
      <c r="H74" s="18"/>
      <c r="I74" s="19"/>
      <c r="J74" s="19"/>
      <c r="K74" s="18"/>
    </row>
    <row r="75" spans="1:15" ht="16.5" thickTop="1" thickBot="1">
      <c r="N75" s="131" t="s">
        <v>27</v>
      </c>
      <c r="O75" s="131"/>
    </row>
    <row r="76" spans="1:15" ht="15.75" customHeight="1" thickTop="1" thickBot="1">
      <c r="A76" s="132" t="s">
        <v>26</v>
      </c>
      <c r="B76" s="132"/>
      <c r="C76" s="132"/>
      <c r="D76" s="132"/>
      <c r="E76" s="132"/>
      <c r="F76" s="132"/>
      <c r="G76" s="132"/>
      <c r="H76" s="132"/>
      <c r="I76" s="132"/>
      <c r="J76" s="132"/>
      <c r="K76" s="132"/>
      <c r="L76" s="132"/>
      <c r="M76" s="132"/>
      <c r="N76" s="133" t="s">
        <v>16</v>
      </c>
      <c r="O76" s="123" t="s">
        <v>17</v>
      </c>
    </row>
    <row r="77" spans="1:15" ht="24" customHeight="1" thickTop="1">
      <c r="A77" s="129"/>
      <c r="B77" s="130" t="s">
        <v>8</v>
      </c>
      <c r="C77" s="117" t="s">
        <v>12</v>
      </c>
      <c r="D77" s="117" t="s">
        <v>11</v>
      </c>
      <c r="E77" s="117" t="s">
        <v>13</v>
      </c>
      <c r="F77" s="117" t="s">
        <v>21</v>
      </c>
      <c r="G77" s="117" t="s">
        <v>14</v>
      </c>
      <c r="H77" s="117" t="s">
        <v>22</v>
      </c>
      <c r="I77" s="117" t="s">
        <v>9</v>
      </c>
      <c r="J77" s="117" t="s">
        <v>23</v>
      </c>
      <c r="K77" s="117" t="s">
        <v>25</v>
      </c>
      <c r="L77" s="117" t="s">
        <v>15</v>
      </c>
      <c r="M77" s="117" t="s">
        <v>24</v>
      </c>
      <c r="N77" s="123"/>
      <c r="O77" s="123"/>
    </row>
    <row r="78" spans="1:15" ht="24" customHeight="1" thickBot="1">
      <c r="A78" s="121"/>
      <c r="B78" s="128"/>
      <c r="C78" s="116"/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24"/>
      <c r="O78" s="124"/>
    </row>
    <row r="79" spans="1:15" ht="15.75" thickTop="1">
      <c r="A79" s="122" t="s">
        <v>18</v>
      </c>
      <c r="B79" s="11">
        <v>600</v>
      </c>
      <c r="C79" s="14">
        <v>0.06</v>
      </c>
      <c r="D79" s="14">
        <v>0.72</v>
      </c>
      <c r="E79" s="14">
        <v>2.9</v>
      </c>
      <c r="F79" s="14">
        <v>1.92</v>
      </c>
      <c r="G79" s="14">
        <v>1.5</v>
      </c>
      <c r="H79" s="14">
        <v>3.44</v>
      </c>
      <c r="I79" s="14">
        <v>1.67</v>
      </c>
      <c r="J79" s="14">
        <v>1.22</v>
      </c>
      <c r="K79" s="14">
        <v>0.92</v>
      </c>
      <c r="L79" s="14">
        <v>0.97</v>
      </c>
      <c r="M79" s="14">
        <v>0.79</v>
      </c>
      <c r="N79" s="14">
        <v>4.4000000000000004</v>
      </c>
      <c r="O79" s="14">
        <v>1.98</v>
      </c>
    </row>
    <row r="80" spans="1:15">
      <c r="A80" s="123"/>
      <c r="B80" s="10">
        <v>760</v>
      </c>
      <c r="C80" s="15">
        <v>7.0000000000000007E-2</v>
      </c>
      <c r="D80" s="15">
        <v>0.9</v>
      </c>
      <c r="E80" s="15">
        <v>3.22</v>
      </c>
      <c r="F80" s="15">
        <v>2.1</v>
      </c>
      <c r="G80" s="15">
        <v>1.5</v>
      </c>
      <c r="H80" s="15">
        <v>3.58</v>
      </c>
      <c r="I80" s="15">
        <v>1.85</v>
      </c>
      <c r="J80" s="15">
        <v>1.4</v>
      </c>
      <c r="K80" s="15">
        <v>1.1000000000000001</v>
      </c>
      <c r="L80" s="15">
        <v>1.04</v>
      </c>
      <c r="M80" s="15">
        <v>0.86</v>
      </c>
      <c r="N80" s="15">
        <v>5.5</v>
      </c>
      <c r="O80" s="15">
        <v>2.25</v>
      </c>
    </row>
    <row r="81" spans="1:15">
      <c r="A81" s="123"/>
      <c r="B81" s="20">
        <v>910</v>
      </c>
      <c r="C81" s="15">
        <v>0.08</v>
      </c>
      <c r="D81" s="15">
        <v>1.06</v>
      </c>
      <c r="E81" s="15">
        <v>3.51</v>
      </c>
      <c r="F81" s="15">
        <v>2.2599999999999998</v>
      </c>
      <c r="G81" s="15">
        <v>1.5</v>
      </c>
      <c r="H81" s="15">
        <v>3.71</v>
      </c>
      <c r="I81" s="15">
        <v>2.0099999999999998</v>
      </c>
      <c r="J81" s="15">
        <v>1.56</v>
      </c>
      <c r="K81" s="15">
        <v>1.26</v>
      </c>
      <c r="L81" s="15">
        <v>1.1000000000000001</v>
      </c>
      <c r="M81" s="15">
        <v>0.92</v>
      </c>
      <c r="N81" s="15">
        <v>6.59</v>
      </c>
      <c r="O81" s="15">
        <v>2.4900000000000002</v>
      </c>
    </row>
    <row r="82" spans="1:15">
      <c r="A82" s="123"/>
      <c r="B82" s="20">
        <v>1060</v>
      </c>
      <c r="C82" s="15">
        <v>0.09</v>
      </c>
      <c r="D82" s="15">
        <v>1.24</v>
      </c>
      <c r="E82" s="15">
        <v>3.83</v>
      </c>
      <c r="F82" s="15">
        <v>2.44</v>
      </c>
      <c r="G82" s="15">
        <v>1.5</v>
      </c>
      <c r="H82" s="15">
        <v>3.85</v>
      </c>
      <c r="I82" s="15">
        <v>2.19</v>
      </c>
      <c r="J82" s="15">
        <v>1.74</v>
      </c>
      <c r="K82" s="15">
        <v>1.44</v>
      </c>
      <c r="L82" s="15">
        <v>1.18</v>
      </c>
      <c r="M82" s="15">
        <v>1</v>
      </c>
      <c r="N82" s="15">
        <v>7.96</v>
      </c>
      <c r="O82" s="15">
        <v>2.76</v>
      </c>
    </row>
    <row r="83" spans="1:15" ht="15.75" thickBot="1">
      <c r="A83" s="124"/>
      <c r="B83" s="21">
        <v>1220</v>
      </c>
      <c r="C83" s="16">
        <v>0.1</v>
      </c>
      <c r="D83" s="16">
        <v>1.42</v>
      </c>
      <c r="E83" s="16">
        <v>4.16</v>
      </c>
      <c r="F83" s="16">
        <v>2.62</v>
      </c>
      <c r="G83" s="16">
        <v>1.5</v>
      </c>
      <c r="H83" s="16">
        <v>4</v>
      </c>
      <c r="I83" s="16">
        <v>2.37</v>
      </c>
      <c r="J83" s="16">
        <v>1.92</v>
      </c>
      <c r="K83" s="16">
        <v>1.62</v>
      </c>
      <c r="L83" s="16">
        <v>1.25</v>
      </c>
      <c r="M83" s="16">
        <v>1.07</v>
      </c>
      <c r="N83" s="16">
        <v>9.4700000000000006</v>
      </c>
      <c r="O83" s="16">
        <v>3.03</v>
      </c>
    </row>
    <row r="84" spans="1:15" ht="15.75" thickTop="1">
      <c r="A84" s="122" t="s">
        <v>19</v>
      </c>
      <c r="B84" s="11">
        <v>600</v>
      </c>
      <c r="C84" s="14">
        <v>0.06</v>
      </c>
      <c r="D84" s="14">
        <v>0.72</v>
      </c>
      <c r="E84" s="14">
        <v>4.0999999999999996</v>
      </c>
      <c r="F84" s="14">
        <v>3.12</v>
      </c>
      <c r="G84" s="14">
        <v>1.5</v>
      </c>
      <c r="H84" s="14">
        <v>3.44</v>
      </c>
      <c r="I84" s="14">
        <v>1.67</v>
      </c>
      <c r="J84" s="14">
        <v>1.22</v>
      </c>
      <c r="K84" s="14">
        <v>0.92</v>
      </c>
      <c r="L84" s="14">
        <v>0.97</v>
      </c>
      <c r="M84" s="14">
        <v>0.79</v>
      </c>
      <c r="N84" s="14">
        <v>6.45</v>
      </c>
      <c r="O84" s="14">
        <v>3.78</v>
      </c>
    </row>
    <row r="85" spans="1:15">
      <c r="A85" s="123"/>
      <c r="B85" s="10">
        <v>760</v>
      </c>
      <c r="C85" s="15">
        <v>7.0000000000000007E-2</v>
      </c>
      <c r="D85" s="15">
        <v>0.9</v>
      </c>
      <c r="E85" s="15">
        <v>4.72</v>
      </c>
      <c r="F85" s="15">
        <v>3.6</v>
      </c>
      <c r="G85" s="15">
        <v>1.5</v>
      </c>
      <c r="H85" s="15">
        <v>3.58</v>
      </c>
      <c r="I85" s="15">
        <v>1.85</v>
      </c>
      <c r="J85" s="15">
        <v>1.4</v>
      </c>
      <c r="K85" s="15">
        <v>1.1000000000000001</v>
      </c>
      <c r="L85" s="15">
        <v>1.04</v>
      </c>
      <c r="M85" s="15">
        <v>0.86</v>
      </c>
      <c r="N85" s="15">
        <v>8.5</v>
      </c>
      <c r="O85" s="15">
        <v>4.5</v>
      </c>
    </row>
    <row r="86" spans="1:15">
      <c r="A86" s="123"/>
      <c r="B86" s="20">
        <v>910</v>
      </c>
      <c r="C86" s="15">
        <v>0.08</v>
      </c>
      <c r="D86" s="15">
        <v>1.06</v>
      </c>
      <c r="E86" s="15">
        <v>5.27</v>
      </c>
      <c r="F86" s="15">
        <v>4.03</v>
      </c>
      <c r="G86" s="15">
        <v>1.5</v>
      </c>
      <c r="H86" s="15">
        <v>3.71</v>
      </c>
      <c r="I86" s="15">
        <v>2.0099999999999998</v>
      </c>
      <c r="J86" s="15">
        <v>1.56</v>
      </c>
      <c r="K86" s="15">
        <v>1.26</v>
      </c>
      <c r="L86" s="15">
        <v>1.1000000000000001</v>
      </c>
      <c r="M86" s="15">
        <v>0.92</v>
      </c>
      <c r="N86" s="15">
        <v>10.61</v>
      </c>
      <c r="O86" s="15">
        <v>5.14</v>
      </c>
    </row>
    <row r="87" spans="1:15">
      <c r="A87" s="123"/>
      <c r="B87" s="20">
        <v>1060</v>
      </c>
      <c r="C87" s="15">
        <v>0.09</v>
      </c>
      <c r="D87" s="15">
        <v>1.24</v>
      </c>
      <c r="E87" s="15">
        <v>5.9</v>
      </c>
      <c r="F87" s="15">
        <v>4.51</v>
      </c>
      <c r="G87" s="15">
        <v>1.5</v>
      </c>
      <c r="H87" s="15">
        <v>3.85</v>
      </c>
      <c r="I87" s="15">
        <v>2.19</v>
      </c>
      <c r="J87" s="15">
        <v>1.74</v>
      </c>
      <c r="K87" s="15">
        <v>1.44</v>
      </c>
      <c r="L87" s="15">
        <v>1.18</v>
      </c>
      <c r="M87" s="15">
        <v>1</v>
      </c>
      <c r="N87" s="15">
        <v>13.34</v>
      </c>
      <c r="O87" s="15">
        <v>5.86</v>
      </c>
    </row>
    <row r="88" spans="1:15" ht="15.75" thickBot="1">
      <c r="A88" s="124"/>
      <c r="B88" s="21">
        <v>1220</v>
      </c>
      <c r="C88" s="16">
        <v>0.1</v>
      </c>
      <c r="D88" s="16">
        <v>1.42</v>
      </c>
      <c r="E88" s="16">
        <v>6.52</v>
      </c>
      <c r="F88" s="16">
        <v>4.99</v>
      </c>
      <c r="G88" s="16">
        <v>1.5</v>
      </c>
      <c r="H88" s="16">
        <v>4</v>
      </c>
      <c r="I88" s="16">
        <v>2.37</v>
      </c>
      <c r="J88" s="16">
        <v>1.92</v>
      </c>
      <c r="K88" s="16">
        <v>1.62</v>
      </c>
      <c r="L88" s="16">
        <v>1.25</v>
      </c>
      <c r="M88" s="16">
        <v>1.07</v>
      </c>
      <c r="N88" s="16">
        <v>16.46</v>
      </c>
      <c r="O88" s="16">
        <v>6.58</v>
      </c>
    </row>
    <row r="89" spans="1:15" ht="15.75" thickTop="1">
      <c r="A89" s="122" t="s">
        <v>20</v>
      </c>
      <c r="B89" s="11">
        <v>600</v>
      </c>
      <c r="C89" s="14">
        <v>0.06</v>
      </c>
      <c r="D89" s="14">
        <v>0.72</v>
      </c>
      <c r="E89" s="14">
        <v>5.3</v>
      </c>
      <c r="F89" s="14">
        <v>4.32</v>
      </c>
      <c r="G89" s="14">
        <v>1.5</v>
      </c>
      <c r="H89" s="14">
        <v>3.44</v>
      </c>
      <c r="I89" s="14">
        <v>1.67</v>
      </c>
      <c r="J89" s="14">
        <v>1.22</v>
      </c>
      <c r="K89" s="14">
        <v>0.92</v>
      </c>
      <c r="L89" s="14">
        <v>0.97</v>
      </c>
      <c r="M89" s="14">
        <v>0.79</v>
      </c>
      <c r="N89" s="14">
        <v>8.49</v>
      </c>
      <c r="O89" s="14">
        <v>5.58</v>
      </c>
    </row>
    <row r="90" spans="1:15">
      <c r="A90" s="123"/>
      <c r="B90" s="10">
        <v>760</v>
      </c>
      <c r="C90" s="15">
        <v>7.0000000000000007E-2</v>
      </c>
      <c r="D90" s="15">
        <v>0.9</v>
      </c>
      <c r="E90" s="15">
        <v>6.22</v>
      </c>
      <c r="F90" s="15">
        <v>5.0999999999999996</v>
      </c>
      <c r="G90" s="15">
        <v>1.5</v>
      </c>
      <c r="H90" s="15">
        <v>3.58</v>
      </c>
      <c r="I90" s="15">
        <v>1.85</v>
      </c>
      <c r="J90" s="15">
        <v>1.4</v>
      </c>
      <c r="K90" s="15">
        <v>1.1000000000000001</v>
      </c>
      <c r="L90" s="15">
        <v>1.04</v>
      </c>
      <c r="M90" s="15">
        <v>0.86</v>
      </c>
      <c r="N90" s="15">
        <v>11.49</v>
      </c>
      <c r="O90" s="15">
        <v>6.75</v>
      </c>
    </row>
    <row r="91" spans="1:15">
      <c r="A91" s="123"/>
      <c r="B91" s="20">
        <v>910</v>
      </c>
      <c r="C91" s="15">
        <v>0.08</v>
      </c>
      <c r="D91" s="15">
        <v>1.06</v>
      </c>
      <c r="E91" s="15">
        <v>7.04</v>
      </c>
      <c r="F91" s="15">
        <v>5.79</v>
      </c>
      <c r="G91" s="15">
        <v>1.5</v>
      </c>
      <c r="H91" s="15">
        <v>3.71</v>
      </c>
      <c r="I91" s="15">
        <v>2.0099999999999998</v>
      </c>
      <c r="J91" s="15">
        <v>1.56</v>
      </c>
      <c r="K91" s="15">
        <v>1.26</v>
      </c>
      <c r="L91" s="15">
        <v>1.1000000000000001</v>
      </c>
      <c r="M91" s="15">
        <v>0.92</v>
      </c>
      <c r="N91" s="15">
        <v>14.63</v>
      </c>
      <c r="O91" s="15">
        <v>7.79</v>
      </c>
    </row>
    <row r="92" spans="1:15">
      <c r="A92" s="123"/>
      <c r="B92" s="20">
        <v>1060</v>
      </c>
      <c r="C92" s="15">
        <v>0.09</v>
      </c>
      <c r="D92" s="15">
        <v>1.24</v>
      </c>
      <c r="E92" s="15">
        <v>7.97</v>
      </c>
      <c r="F92" s="15">
        <v>6.57</v>
      </c>
      <c r="G92" s="15">
        <v>1.5</v>
      </c>
      <c r="H92" s="15">
        <v>3.85</v>
      </c>
      <c r="I92" s="15">
        <v>2.19</v>
      </c>
      <c r="J92" s="15">
        <v>1.74</v>
      </c>
      <c r="K92" s="15">
        <v>1.44</v>
      </c>
      <c r="L92" s="15">
        <v>1</v>
      </c>
      <c r="M92" s="15">
        <v>1</v>
      </c>
      <c r="N92" s="15">
        <v>18.72</v>
      </c>
      <c r="O92" s="15">
        <v>8.9600000000000009</v>
      </c>
    </row>
    <row r="93" spans="1:15" ht="15.75" thickBot="1">
      <c r="A93" s="125"/>
      <c r="B93" s="21">
        <v>1220</v>
      </c>
      <c r="C93" s="16">
        <v>0.1</v>
      </c>
      <c r="D93" s="16">
        <v>1.42</v>
      </c>
      <c r="E93" s="16">
        <v>8.89</v>
      </c>
      <c r="F93" s="16">
        <v>7.35</v>
      </c>
      <c r="G93" s="16">
        <v>1.5</v>
      </c>
      <c r="H93" s="16">
        <v>4</v>
      </c>
      <c r="I93" s="16">
        <v>2.37</v>
      </c>
      <c r="J93" s="16">
        <v>1.92</v>
      </c>
      <c r="K93" s="16">
        <v>1.62</v>
      </c>
      <c r="L93" s="16">
        <v>1.07</v>
      </c>
      <c r="M93" s="16">
        <v>1.07</v>
      </c>
      <c r="N93" s="16">
        <v>23.45</v>
      </c>
      <c r="O93" s="16">
        <v>10.130000000000001</v>
      </c>
    </row>
    <row r="94" spans="1:15" ht="15.75" thickTop="1">
      <c r="A94" s="13"/>
    </row>
  </sheetData>
  <customSheetViews>
    <customSheetView guid="{A4DA0C6D-D584-455D-A4B7-603EE27383F6}">
      <selection activeCell="E6" sqref="E6"/>
      <pageMargins left="0.7" right="0.7" top="0.75" bottom="0.75" header="0.3" footer="0.3"/>
    </customSheetView>
  </customSheetViews>
  <mergeCells count="75">
    <mergeCell ref="O55:O57"/>
    <mergeCell ref="A55:M55"/>
    <mergeCell ref="G77:G78"/>
    <mergeCell ref="H77:H78"/>
    <mergeCell ref="I77:I78"/>
    <mergeCell ref="L77:L78"/>
    <mergeCell ref="N75:O75"/>
    <mergeCell ref="N76:N78"/>
    <mergeCell ref="O76:O78"/>
    <mergeCell ref="A76:M76"/>
    <mergeCell ref="A68:A72"/>
    <mergeCell ref="E56:E57"/>
    <mergeCell ref="F56:F57"/>
    <mergeCell ref="I56:I57"/>
    <mergeCell ref="K56:K57"/>
    <mergeCell ref="M56:M57"/>
    <mergeCell ref="N34:N36"/>
    <mergeCell ref="K35:K36"/>
    <mergeCell ref="A34:L34"/>
    <mergeCell ref="G56:G57"/>
    <mergeCell ref="H56:H57"/>
    <mergeCell ref="J56:J57"/>
    <mergeCell ref="L56:L57"/>
    <mergeCell ref="N54:O54"/>
    <mergeCell ref="N55:N57"/>
    <mergeCell ref="G35:G36"/>
    <mergeCell ref="H35:H36"/>
    <mergeCell ref="M34:M36"/>
    <mergeCell ref="A56:A57"/>
    <mergeCell ref="B56:B57"/>
    <mergeCell ref="C56:C57"/>
    <mergeCell ref="D56:D57"/>
    <mergeCell ref="A79:A83"/>
    <mergeCell ref="A84:A88"/>
    <mergeCell ref="A89:A93"/>
    <mergeCell ref="M33:N33"/>
    <mergeCell ref="J12:K12"/>
    <mergeCell ref="A77:A78"/>
    <mergeCell ref="B77:B78"/>
    <mergeCell ref="C77:C78"/>
    <mergeCell ref="D77:D78"/>
    <mergeCell ref="E77:E78"/>
    <mergeCell ref="F77:F78"/>
    <mergeCell ref="J77:J78"/>
    <mergeCell ref="K77:K78"/>
    <mergeCell ref="M77:M78"/>
    <mergeCell ref="A58:A62"/>
    <mergeCell ref="A63:A67"/>
    <mergeCell ref="I35:I36"/>
    <mergeCell ref="A37:A41"/>
    <mergeCell ref="A42:A46"/>
    <mergeCell ref="A47:A51"/>
    <mergeCell ref="A35:A36"/>
    <mergeCell ref="B35:B36"/>
    <mergeCell ref="H14:H15"/>
    <mergeCell ref="C35:C36"/>
    <mergeCell ref="D35:D36"/>
    <mergeCell ref="E35:E36"/>
    <mergeCell ref="F35:F36"/>
    <mergeCell ref="I14:I15"/>
    <mergeCell ref="J35:J36"/>
    <mergeCell ref="L35:L36"/>
    <mergeCell ref="A14:A15"/>
    <mergeCell ref="A21:A25"/>
    <mergeCell ref="A26:A30"/>
    <mergeCell ref="F14:F15"/>
    <mergeCell ref="J13:J15"/>
    <mergeCell ref="K13:K15"/>
    <mergeCell ref="A16:A20"/>
    <mergeCell ref="A13:I13"/>
    <mergeCell ref="B14:B15"/>
    <mergeCell ref="C14:C15"/>
    <mergeCell ref="D14:D15"/>
    <mergeCell ref="E14:E15"/>
    <mergeCell ref="G14:G15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tabColor theme="4" tint="0.39997558519241921"/>
  </sheetPr>
  <dimension ref="A1:M33"/>
  <sheetViews>
    <sheetView workbookViewId="0">
      <selection activeCell="C17" sqref="C17"/>
    </sheetView>
  </sheetViews>
  <sheetFormatPr defaultRowHeight="15"/>
  <cols>
    <col min="1" max="1" width="10.140625" customWidth="1"/>
    <col min="2" max="2" width="13.85546875" bestFit="1" customWidth="1"/>
    <col min="5" max="5" width="12.28515625" bestFit="1" customWidth="1"/>
    <col min="6" max="6" width="8.7109375" customWidth="1"/>
    <col min="7" max="7" width="10.5703125" customWidth="1"/>
    <col min="9" max="9" width="9.42578125" customWidth="1"/>
    <col min="10" max="10" width="14.28515625" bestFit="1" customWidth="1"/>
    <col min="12" max="12" width="14.28515625" bestFit="1" customWidth="1"/>
  </cols>
  <sheetData>
    <row r="1" spans="1:13">
      <c r="A1" s="47" t="s">
        <v>85</v>
      </c>
      <c r="B1" s="36"/>
      <c r="C1" s="36"/>
      <c r="D1" s="36"/>
      <c r="E1" s="36"/>
      <c r="F1" s="36"/>
      <c r="G1" s="36"/>
      <c r="H1" s="36"/>
      <c r="I1" s="36"/>
      <c r="J1" s="37"/>
    </row>
    <row r="2" spans="1:13">
      <c r="A2" s="76"/>
      <c r="B2" s="53" t="s">
        <v>88</v>
      </c>
      <c r="C2" s="76"/>
      <c r="D2" s="76"/>
      <c r="E2" s="76"/>
      <c r="F2" s="52" t="s">
        <v>47</v>
      </c>
      <c r="G2" s="52"/>
      <c r="H2" s="76"/>
      <c r="I2" s="134" t="s">
        <v>41</v>
      </c>
      <c r="J2" s="135"/>
      <c r="K2" s="51"/>
      <c r="L2" s="51"/>
      <c r="M2" s="51"/>
    </row>
    <row r="3" spans="1:13">
      <c r="A3" s="76"/>
      <c r="B3" s="77">
        <v>910</v>
      </c>
      <c r="C3" s="76"/>
      <c r="D3" s="76"/>
      <c r="E3" s="76"/>
      <c r="F3" s="78">
        <f>VLOOKUP(B3,I4:J6,2)</f>
        <v>0.08</v>
      </c>
      <c r="G3" s="79" t="s">
        <v>50</v>
      </c>
      <c r="H3" s="76"/>
      <c r="I3" s="80" t="s">
        <v>42</v>
      </c>
      <c r="J3" s="80" t="s">
        <v>43</v>
      </c>
      <c r="K3" s="51"/>
      <c r="L3" s="51"/>
      <c r="M3" s="51"/>
    </row>
    <row r="4" spans="1:13">
      <c r="A4" s="76"/>
      <c r="B4" s="76"/>
      <c r="C4" s="81" t="s">
        <v>39</v>
      </c>
      <c r="D4" s="81" t="s">
        <v>35</v>
      </c>
      <c r="E4" s="81" t="s">
        <v>86</v>
      </c>
      <c r="F4" s="76"/>
      <c r="G4" s="76"/>
      <c r="H4" s="76"/>
      <c r="I4" s="82">
        <v>910</v>
      </c>
      <c r="J4" s="82">
        <v>0.08</v>
      </c>
      <c r="M4" s="51"/>
    </row>
    <row r="5" spans="1:13">
      <c r="A5" s="76"/>
      <c r="B5" s="76"/>
      <c r="C5" s="81" t="s">
        <v>87</v>
      </c>
      <c r="D5" s="81" t="s">
        <v>40</v>
      </c>
      <c r="E5" s="81" t="s">
        <v>57</v>
      </c>
      <c r="F5" s="76"/>
      <c r="G5" s="76"/>
      <c r="H5" s="76"/>
      <c r="I5" s="82">
        <v>1060</v>
      </c>
      <c r="J5" s="82">
        <v>0.09</v>
      </c>
      <c r="M5" s="51"/>
    </row>
    <row r="6" spans="1:13">
      <c r="A6" s="76"/>
      <c r="B6" s="76"/>
      <c r="C6" s="76"/>
      <c r="D6" s="76"/>
      <c r="E6" s="76"/>
      <c r="F6" s="76"/>
      <c r="G6" s="76"/>
      <c r="H6" s="76"/>
      <c r="I6" s="82">
        <v>1220</v>
      </c>
      <c r="J6" s="82">
        <v>0.1</v>
      </c>
      <c r="M6" s="51"/>
    </row>
    <row r="7" spans="1:13">
      <c r="A7" s="136" t="s">
        <v>49</v>
      </c>
      <c r="B7" s="136"/>
      <c r="C7" s="76"/>
      <c r="D7" s="76"/>
      <c r="E7" s="76"/>
      <c r="F7" s="76"/>
      <c r="G7" s="76"/>
      <c r="H7" s="76"/>
      <c r="I7" s="83"/>
      <c r="J7" s="83"/>
      <c r="M7" s="51"/>
    </row>
    <row r="8" spans="1:13">
      <c r="A8" s="81" t="s">
        <v>45</v>
      </c>
      <c r="B8" s="81">
        <v>0.2</v>
      </c>
      <c r="C8" s="76"/>
      <c r="D8" s="76"/>
      <c r="E8" s="76"/>
      <c r="F8" s="76"/>
      <c r="G8" s="76"/>
      <c r="H8" s="76"/>
      <c r="I8" s="76"/>
      <c r="J8" s="84"/>
      <c r="M8" s="51"/>
    </row>
    <row r="9" spans="1:13">
      <c r="A9" s="81" t="s">
        <v>46</v>
      </c>
      <c r="B9" s="81">
        <v>0.2</v>
      </c>
      <c r="C9" s="76"/>
      <c r="D9" s="76"/>
      <c r="E9" s="76"/>
      <c r="F9" s="76"/>
      <c r="G9" s="76"/>
      <c r="H9" s="76"/>
      <c r="I9" s="76"/>
      <c r="J9" s="84"/>
      <c r="K9" s="51"/>
      <c r="L9" s="51"/>
      <c r="M9" s="51"/>
    </row>
    <row r="10" spans="1:13">
      <c r="A10" s="76"/>
      <c r="B10" s="76"/>
      <c r="C10" s="76"/>
      <c r="D10" s="85" t="s">
        <v>48</v>
      </c>
      <c r="E10" s="85"/>
      <c r="F10" s="76"/>
      <c r="G10" s="76"/>
      <c r="H10" s="76"/>
      <c r="I10" s="76"/>
      <c r="J10" s="84"/>
      <c r="K10" s="51"/>
      <c r="L10" s="51"/>
      <c r="M10" s="51"/>
    </row>
    <row r="11" spans="1:13">
      <c r="A11" s="76"/>
      <c r="B11" s="76"/>
      <c r="C11" s="76"/>
      <c r="D11" s="78">
        <v>0.4</v>
      </c>
      <c r="E11" s="79" t="s">
        <v>50</v>
      </c>
      <c r="F11" s="76"/>
      <c r="G11" s="76"/>
      <c r="H11" s="76"/>
      <c r="I11" s="76"/>
      <c r="J11" s="84"/>
      <c r="K11" s="51"/>
      <c r="L11" s="51"/>
      <c r="M11" s="51"/>
    </row>
    <row r="12" spans="1:13">
      <c r="A12" s="76"/>
      <c r="B12" s="76"/>
      <c r="C12" s="76"/>
      <c r="D12" s="76"/>
      <c r="E12" s="76"/>
      <c r="F12" s="76"/>
      <c r="G12" s="76"/>
      <c r="H12" s="76"/>
      <c r="I12" s="76"/>
      <c r="J12" s="84"/>
      <c r="K12" s="51"/>
      <c r="L12" s="51"/>
      <c r="M12" s="51"/>
    </row>
    <row r="13" spans="1:13">
      <c r="A13" s="76"/>
      <c r="B13" s="76"/>
      <c r="C13" s="76"/>
      <c r="D13" s="76"/>
      <c r="E13" s="76"/>
      <c r="F13" s="76"/>
      <c r="G13" s="76"/>
      <c r="H13" s="76"/>
      <c r="I13" s="76"/>
      <c r="J13" s="84"/>
    </row>
    <row r="14" spans="1:13">
      <c r="A14" s="76"/>
      <c r="B14" s="76"/>
      <c r="C14" s="76"/>
      <c r="D14" s="76"/>
      <c r="E14" s="76"/>
      <c r="F14" s="76"/>
      <c r="G14" s="76"/>
      <c r="H14" s="76"/>
      <c r="I14" s="76"/>
      <c r="J14" s="76"/>
    </row>
    <row r="15" spans="1:13">
      <c r="A15" s="76"/>
      <c r="B15" s="76"/>
      <c r="C15" s="76"/>
      <c r="D15" s="76"/>
      <c r="E15" s="76"/>
      <c r="F15" s="76"/>
      <c r="G15" s="76"/>
      <c r="H15" s="76"/>
      <c r="I15" s="76"/>
      <c r="J15" s="76"/>
    </row>
    <row r="16" spans="1:13">
      <c r="A16" s="76"/>
      <c r="B16" s="76"/>
      <c r="C16" s="76"/>
      <c r="D16" s="76"/>
      <c r="E16" s="76"/>
      <c r="F16" s="76"/>
      <c r="G16" s="76"/>
      <c r="H16" s="76"/>
      <c r="I16" s="76"/>
      <c r="J16" s="76"/>
    </row>
    <row r="17" spans="1:10">
      <c r="A17" s="76"/>
      <c r="B17" s="76"/>
      <c r="C17" s="76"/>
      <c r="D17" s="76"/>
      <c r="E17" s="76"/>
      <c r="F17" s="76"/>
      <c r="G17" s="76"/>
      <c r="H17" s="76"/>
      <c r="I17" s="76"/>
      <c r="J17" s="76"/>
    </row>
    <row r="18" spans="1:10">
      <c r="A18" s="76"/>
      <c r="B18" s="76"/>
      <c r="C18" s="76"/>
      <c r="D18" s="76"/>
      <c r="E18" s="76"/>
      <c r="F18" s="76"/>
      <c r="G18" s="76"/>
      <c r="H18" s="76"/>
      <c r="I18" s="76"/>
      <c r="J18" s="76"/>
    </row>
    <row r="19" spans="1:10">
      <c r="A19" s="76"/>
      <c r="B19" s="76"/>
      <c r="C19" s="76"/>
      <c r="D19" s="76"/>
      <c r="E19" s="76"/>
      <c r="F19" s="76"/>
      <c r="G19" s="76"/>
      <c r="H19" s="76"/>
      <c r="I19" s="76"/>
      <c r="J19" s="76"/>
    </row>
    <row r="20" spans="1:10">
      <c r="A20" s="76"/>
      <c r="B20" s="76"/>
      <c r="C20" s="76"/>
      <c r="D20" s="76"/>
      <c r="E20" s="76"/>
      <c r="F20" s="76"/>
      <c r="G20" s="76"/>
      <c r="H20" s="76"/>
      <c r="I20" s="76"/>
      <c r="J20" s="76"/>
    </row>
    <row r="21" spans="1:10">
      <c r="A21" s="76"/>
      <c r="B21" s="76"/>
      <c r="C21" s="76"/>
      <c r="D21" s="76"/>
      <c r="E21" s="76"/>
      <c r="F21" s="76"/>
      <c r="G21" s="76"/>
      <c r="H21" s="76"/>
      <c r="I21" s="76"/>
      <c r="J21" s="76"/>
    </row>
    <row r="22" spans="1:10">
      <c r="A22" s="76"/>
      <c r="B22" s="76"/>
      <c r="C22" s="76"/>
      <c r="D22" s="76"/>
      <c r="E22" s="76"/>
      <c r="F22" s="76"/>
      <c r="G22" s="76"/>
      <c r="H22" s="76"/>
      <c r="I22" s="76"/>
      <c r="J22" s="76"/>
    </row>
    <row r="23" spans="1:10">
      <c r="A23" s="76"/>
      <c r="B23" s="76"/>
      <c r="C23" s="76"/>
      <c r="D23" s="76"/>
      <c r="E23" s="76"/>
      <c r="F23" s="76"/>
      <c r="G23" s="76"/>
      <c r="H23" s="76"/>
      <c r="I23" s="76"/>
      <c r="J23" s="76"/>
    </row>
    <row r="24" spans="1:10">
      <c r="A24" s="76"/>
      <c r="B24" s="76"/>
      <c r="C24" s="76"/>
      <c r="D24" s="76"/>
      <c r="E24" s="76"/>
      <c r="F24" s="76"/>
      <c r="G24" s="76"/>
      <c r="H24" s="76"/>
      <c r="I24" s="76"/>
      <c r="J24" s="76"/>
    </row>
    <row r="25" spans="1:10">
      <c r="A25" s="76"/>
      <c r="B25" s="76"/>
      <c r="C25" s="76"/>
      <c r="D25" s="76"/>
      <c r="E25" s="76"/>
      <c r="F25" s="76"/>
      <c r="G25" s="76"/>
      <c r="H25" s="76"/>
      <c r="I25" s="76"/>
      <c r="J25" s="76"/>
    </row>
    <row r="26" spans="1:10">
      <c r="A26" s="76"/>
      <c r="B26" s="76"/>
      <c r="C26" s="76"/>
      <c r="D26" s="76"/>
      <c r="E26" s="76"/>
      <c r="F26" s="76"/>
      <c r="G26" s="76"/>
      <c r="H26" s="76"/>
      <c r="I26" s="76"/>
      <c r="J26" s="76"/>
    </row>
    <row r="27" spans="1:10">
      <c r="A27" s="76"/>
      <c r="B27" s="76"/>
      <c r="C27" s="76"/>
      <c r="D27" s="76"/>
      <c r="E27" s="76"/>
      <c r="F27" s="76"/>
      <c r="G27" s="76"/>
      <c r="H27" s="76"/>
      <c r="I27" s="76"/>
      <c r="J27" s="76"/>
    </row>
    <row r="28" spans="1:10">
      <c r="A28" s="76"/>
      <c r="B28" s="76"/>
      <c r="C28" s="76"/>
      <c r="D28" s="76"/>
      <c r="E28" s="76"/>
      <c r="F28" s="76"/>
      <c r="G28" s="76"/>
      <c r="H28" s="76"/>
      <c r="I28" s="76"/>
      <c r="J28" s="76"/>
    </row>
    <row r="29" spans="1:10">
      <c r="A29" s="76"/>
      <c r="B29" s="76"/>
      <c r="C29" s="76"/>
      <c r="D29" s="76"/>
      <c r="E29" s="76"/>
      <c r="F29" s="76"/>
      <c r="G29" s="76"/>
      <c r="H29" s="76"/>
      <c r="I29" s="76"/>
      <c r="J29" s="76"/>
    </row>
    <row r="30" spans="1:10">
      <c r="A30" s="76"/>
      <c r="B30" s="76"/>
      <c r="C30" s="76"/>
      <c r="D30" s="76"/>
      <c r="E30" s="76"/>
      <c r="F30" s="76"/>
      <c r="G30" s="76"/>
      <c r="H30" s="76"/>
      <c r="I30" s="76"/>
      <c r="J30" s="76"/>
    </row>
    <row r="31" spans="1:10">
      <c r="A31" s="76"/>
      <c r="B31" s="76"/>
      <c r="C31" s="76"/>
      <c r="D31" s="76"/>
      <c r="E31" s="76"/>
      <c r="F31" s="76"/>
      <c r="G31" s="76"/>
      <c r="H31" s="76"/>
      <c r="I31" s="76"/>
      <c r="J31" s="76"/>
    </row>
    <row r="32" spans="1:10">
      <c r="A32" s="76"/>
      <c r="B32" s="76"/>
      <c r="C32" s="76"/>
      <c r="D32" s="76"/>
      <c r="E32" s="76"/>
      <c r="F32" s="76"/>
      <c r="G32" s="76"/>
      <c r="H32" s="76"/>
      <c r="I32" s="76"/>
      <c r="J32" s="76"/>
    </row>
    <row r="33" spans="1:10">
      <c r="A33" s="76"/>
      <c r="B33" s="76"/>
      <c r="C33" s="76"/>
      <c r="D33" s="76"/>
      <c r="E33" s="76"/>
      <c r="F33" s="76"/>
      <c r="G33" s="76"/>
      <c r="H33" s="76"/>
      <c r="I33" s="76"/>
      <c r="J33" s="76"/>
    </row>
  </sheetData>
  <mergeCells count="2">
    <mergeCell ref="I2:J2"/>
    <mergeCell ref="A7:B7"/>
  </mergeCells>
  <dataValidations count="3">
    <dataValidation type="list" allowBlank="1" showInputMessage="1" showErrorMessage="1" sqref="C5:D5">
      <formula1>"yes,no"</formula1>
    </dataValidation>
    <dataValidation type="list" allowBlank="1" showInputMessage="1" showErrorMessage="1" sqref="B3">
      <formula1>"910,1060,1220"</formula1>
    </dataValidation>
    <dataValidation type="list" allowBlank="1" showInputMessage="1" showErrorMessage="1" sqref="E5">
      <formula1>"Left,Right"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>
    <tabColor theme="5" tint="0.39997558519241921"/>
  </sheetPr>
  <dimension ref="A1:P62"/>
  <sheetViews>
    <sheetView zoomScale="102" zoomScaleNormal="102" workbookViewId="0">
      <pane ySplit="6375" topLeftCell="A7"/>
      <selection activeCell="C7" sqref="C7"/>
      <selection pane="bottomLeft" activeCell="D27" sqref="D27"/>
    </sheetView>
  </sheetViews>
  <sheetFormatPr defaultRowHeight="15"/>
  <cols>
    <col min="1" max="1" width="2.42578125" style="56" customWidth="1"/>
    <col min="2" max="2" width="4" style="56" customWidth="1"/>
    <col min="3" max="3" width="6.28515625" style="56" customWidth="1"/>
    <col min="4" max="8" width="6.140625" style="56" customWidth="1"/>
    <col min="9" max="10" width="6" style="56" customWidth="1"/>
    <col min="11" max="11" width="7" style="56" bestFit="1" customWidth="1"/>
    <col min="12" max="12" width="7.28515625" style="56" customWidth="1"/>
    <col min="13" max="13" width="7.5703125" style="56" customWidth="1"/>
    <col min="14" max="15" width="6.85546875" style="56" customWidth="1"/>
    <col min="16" max="16" width="5" style="56" customWidth="1"/>
    <col min="17" max="18" width="5.7109375" style="56" customWidth="1"/>
    <col min="19" max="16384" width="9.140625" style="56"/>
  </cols>
  <sheetData>
    <row r="1" spans="1:15" ht="18" customHeight="1">
      <c r="A1" s="137" t="s">
        <v>55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1:1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1:15">
      <c r="A3" s="5"/>
      <c r="B3" s="5"/>
      <c r="C3" s="5"/>
      <c r="D3" s="5"/>
      <c r="E3" s="5"/>
      <c r="F3" s="5"/>
      <c r="G3" s="5"/>
      <c r="H3" s="5"/>
      <c r="I3" s="55"/>
      <c r="J3" s="5"/>
      <c r="K3" s="5"/>
      <c r="L3" s="54" t="s">
        <v>56</v>
      </c>
      <c r="M3" s="57" t="s">
        <v>57</v>
      </c>
      <c r="N3" s="5"/>
      <c r="O3" s="5"/>
    </row>
    <row r="4" spans="1:15">
      <c r="A4" s="5"/>
      <c r="B4" s="5"/>
      <c r="C4" s="5" t="s">
        <v>58</v>
      </c>
      <c r="D4" s="54" t="s">
        <v>59</v>
      </c>
      <c r="E4" s="57">
        <v>2.5</v>
      </c>
      <c r="F4" s="5"/>
      <c r="G4" s="5"/>
      <c r="H4" s="5"/>
      <c r="I4" s="5"/>
      <c r="J4" s="5"/>
      <c r="K4" s="5"/>
      <c r="L4" s="54" t="s">
        <v>60</v>
      </c>
      <c r="M4" s="57" t="s">
        <v>40</v>
      </c>
      <c r="N4" s="5"/>
      <c r="O4" s="5"/>
    </row>
    <row r="5" spans="1:1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 ht="15" customHeight="1">
      <c r="A6" s="5"/>
      <c r="B6" s="138" t="s">
        <v>61</v>
      </c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40"/>
      <c r="N6" s="5"/>
      <c r="O6" s="5"/>
    </row>
    <row r="7" spans="1:15">
      <c r="A7" s="5"/>
      <c r="B7" s="58" t="s">
        <v>62</v>
      </c>
      <c r="C7" s="59">
        <v>2</v>
      </c>
      <c r="D7" s="60">
        <v>3</v>
      </c>
      <c r="E7" s="60">
        <v>4</v>
      </c>
      <c r="F7" s="60">
        <v>5</v>
      </c>
      <c r="G7" s="60">
        <v>6</v>
      </c>
      <c r="H7" s="60">
        <v>7</v>
      </c>
      <c r="I7" s="60">
        <v>8</v>
      </c>
      <c r="J7" s="60">
        <v>9</v>
      </c>
      <c r="K7" s="60">
        <v>10</v>
      </c>
      <c r="L7" s="60">
        <v>11</v>
      </c>
      <c r="M7" s="60">
        <v>12</v>
      </c>
      <c r="N7" s="5"/>
      <c r="O7" s="5"/>
    </row>
    <row r="8" spans="1:15">
      <c r="A8" s="5"/>
      <c r="B8" s="58" t="s">
        <v>63</v>
      </c>
      <c r="C8" s="60">
        <v>0.25</v>
      </c>
      <c r="D8" s="60">
        <v>0.25</v>
      </c>
      <c r="E8" s="60">
        <v>0.25</v>
      </c>
      <c r="F8" s="60">
        <v>0.25</v>
      </c>
      <c r="G8" s="60">
        <v>0.25</v>
      </c>
      <c r="H8" s="60">
        <v>0.25</v>
      </c>
      <c r="I8" s="60">
        <v>0.25</v>
      </c>
      <c r="J8" s="60">
        <v>0.25</v>
      </c>
      <c r="K8" s="60">
        <v>0.25</v>
      </c>
      <c r="L8" s="60">
        <v>0.25</v>
      </c>
      <c r="M8" s="60">
        <v>0.25</v>
      </c>
      <c r="N8" s="5"/>
      <c r="O8" s="5"/>
    </row>
    <row r="9" spans="1:15">
      <c r="A9" s="5"/>
      <c r="B9" s="58" t="s">
        <v>64</v>
      </c>
      <c r="C9" s="60">
        <v>0.25</v>
      </c>
      <c r="D9" s="60">
        <v>0.3</v>
      </c>
      <c r="E9" s="60">
        <v>0.35</v>
      </c>
      <c r="F9" s="60">
        <v>0.4</v>
      </c>
      <c r="G9" s="60">
        <v>0.45</v>
      </c>
      <c r="H9" s="60">
        <v>0.5</v>
      </c>
      <c r="I9" s="60">
        <v>0.7</v>
      </c>
      <c r="J9" s="60">
        <v>0.9</v>
      </c>
      <c r="K9" s="60">
        <v>1</v>
      </c>
      <c r="L9" s="60">
        <v>1.1000000000000001</v>
      </c>
      <c r="M9" s="60">
        <v>1.2</v>
      </c>
      <c r="N9" s="5"/>
      <c r="O9" s="5"/>
    </row>
    <row r="10" spans="1:15" ht="15.75" customHeight="1">
      <c r="A10" s="5"/>
      <c r="B10" s="58" t="s">
        <v>65</v>
      </c>
      <c r="C10" s="60">
        <v>0.2</v>
      </c>
      <c r="D10" s="60">
        <v>0.2</v>
      </c>
      <c r="E10" s="60">
        <v>0.21</v>
      </c>
      <c r="F10" s="60">
        <v>0.22</v>
      </c>
      <c r="G10" s="60">
        <v>0.3</v>
      </c>
      <c r="H10" s="60">
        <v>0.35</v>
      </c>
      <c r="I10" s="60">
        <v>0.4</v>
      </c>
      <c r="J10" s="60">
        <v>0.45</v>
      </c>
      <c r="K10" s="60">
        <v>0.5</v>
      </c>
      <c r="L10" s="60">
        <v>0.55000000000000004</v>
      </c>
      <c r="M10" s="60">
        <v>0.6</v>
      </c>
      <c r="N10" s="5"/>
      <c r="O10" s="5"/>
    </row>
    <row r="11" spans="1:15">
      <c r="A11" s="5"/>
      <c r="B11" s="58" t="s">
        <v>66</v>
      </c>
      <c r="C11" s="60">
        <v>0.21</v>
      </c>
      <c r="D11" s="60">
        <v>0.24</v>
      </c>
      <c r="E11" s="60">
        <v>0.28000000000000003</v>
      </c>
      <c r="F11" s="60">
        <v>0.32</v>
      </c>
      <c r="G11" s="60">
        <v>0.4</v>
      </c>
      <c r="H11" s="60">
        <v>0.45</v>
      </c>
      <c r="I11" s="60">
        <v>0.55000000000000004</v>
      </c>
      <c r="J11" s="60">
        <v>0.6</v>
      </c>
      <c r="K11" s="60">
        <v>0.7</v>
      </c>
      <c r="L11" s="60">
        <v>0.8</v>
      </c>
      <c r="M11" s="60">
        <v>0.9</v>
      </c>
      <c r="N11" s="5"/>
      <c r="O11" s="5"/>
    </row>
    <row r="12" spans="1:15">
      <c r="A12" s="5"/>
      <c r="B12" s="58" t="s">
        <v>67</v>
      </c>
      <c r="C12" s="60">
        <v>0.25</v>
      </c>
      <c r="D12" s="60">
        <v>0.3</v>
      </c>
      <c r="E12" s="60">
        <v>0.35</v>
      </c>
      <c r="F12" s="60">
        <v>0.4</v>
      </c>
      <c r="G12" s="60">
        <v>0.5</v>
      </c>
      <c r="H12" s="60">
        <v>0.6</v>
      </c>
      <c r="I12" s="60">
        <v>0.7</v>
      </c>
      <c r="J12" s="60">
        <v>0.8</v>
      </c>
      <c r="K12" s="60">
        <v>0.9</v>
      </c>
      <c r="L12" s="60">
        <v>1</v>
      </c>
      <c r="M12" s="60">
        <v>1.1000000000000001</v>
      </c>
      <c r="N12" s="5"/>
      <c r="O12" s="5"/>
    </row>
    <row r="13" spans="1:15">
      <c r="A13" s="5"/>
      <c r="B13" s="58" t="s">
        <v>68</v>
      </c>
      <c r="C13" s="60">
        <v>0.05</v>
      </c>
      <c r="D13" s="60">
        <v>0.1</v>
      </c>
      <c r="E13" s="60">
        <v>0.14000000000000001</v>
      </c>
      <c r="F13" s="60">
        <v>0.18</v>
      </c>
      <c r="G13" s="60">
        <v>0.21</v>
      </c>
      <c r="H13" s="60">
        <v>0.25</v>
      </c>
      <c r="I13" s="60">
        <v>0.3</v>
      </c>
      <c r="J13" s="60">
        <v>0.35</v>
      </c>
      <c r="K13" s="60">
        <v>0.4</v>
      </c>
      <c r="L13" s="60">
        <v>0.45</v>
      </c>
      <c r="M13" s="60">
        <v>0.5</v>
      </c>
      <c r="N13" s="5"/>
      <c r="O13" s="5"/>
    </row>
    <row r="14" spans="1:15">
      <c r="A14" s="5"/>
      <c r="B14" s="58" t="s">
        <v>69</v>
      </c>
      <c r="C14" s="60">
        <v>0</v>
      </c>
      <c r="D14" s="60">
        <v>0</v>
      </c>
      <c r="E14" s="60">
        <v>0</v>
      </c>
      <c r="F14" s="60">
        <v>0</v>
      </c>
      <c r="G14" s="60">
        <v>0.2</v>
      </c>
      <c r="H14" s="60">
        <v>0.25</v>
      </c>
      <c r="I14" s="60">
        <v>0.35</v>
      </c>
      <c r="J14" s="60">
        <v>0.5</v>
      </c>
      <c r="K14" s="60">
        <v>0.6</v>
      </c>
      <c r="L14" s="60">
        <v>0.7</v>
      </c>
      <c r="M14" s="60">
        <v>0.7</v>
      </c>
      <c r="N14" s="5"/>
      <c r="O14" s="5"/>
    </row>
    <row r="15" spans="1:15">
      <c r="A15" s="5"/>
      <c r="B15" s="58" t="s">
        <v>70</v>
      </c>
      <c r="C15" s="60">
        <v>0</v>
      </c>
      <c r="D15" s="60">
        <v>0</v>
      </c>
      <c r="E15" s="60">
        <v>0</v>
      </c>
      <c r="F15" s="60">
        <v>0</v>
      </c>
      <c r="G15" s="60">
        <v>0.25</v>
      </c>
      <c r="H15" s="60">
        <v>0.25</v>
      </c>
      <c r="I15" s="60">
        <v>0.4</v>
      </c>
      <c r="J15" s="60">
        <v>0.4</v>
      </c>
      <c r="K15" s="60">
        <v>0.6</v>
      </c>
      <c r="L15" s="60">
        <v>0.7</v>
      </c>
      <c r="M15" s="60">
        <v>0.8</v>
      </c>
      <c r="N15" s="5"/>
      <c r="O15" s="5"/>
    </row>
    <row r="16" spans="1:15">
      <c r="A16" s="5"/>
      <c r="B16" s="58" t="s">
        <v>13</v>
      </c>
      <c r="C16" s="60">
        <v>0.8</v>
      </c>
      <c r="D16" s="60">
        <v>1.2</v>
      </c>
      <c r="E16" s="60">
        <v>1.4</v>
      </c>
      <c r="F16" s="60">
        <v>1.8</v>
      </c>
      <c r="G16" s="60">
        <v>2.0499999999999998</v>
      </c>
      <c r="H16" s="60">
        <v>2.25</v>
      </c>
      <c r="I16" s="60">
        <v>2.2000000000000002</v>
      </c>
      <c r="J16" s="60">
        <v>2.6</v>
      </c>
      <c r="K16" s="60">
        <v>0.3</v>
      </c>
      <c r="L16" s="60">
        <v>3.2</v>
      </c>
      <c r="M16" s="60">
        <v>3.4</v>
      </c>
      <c r="N16" s="5"/>
      <c r="O16" s="5"/>
    </row>
    <row r="17" spans="1:16">
      <c r="A17" s="5"/>
      <c r="B17" s="58" t="s">
        <v>21</v>
      </c>
      <c r="C17" s="60">
        <v>0.45</v>
      </c>
      <c r="D17" s="60">
        <v>0.6</v>
      </c>
      <c r="E17" s="60">
        <v>0.75</v>
      </c>
      <c r="F17" s="60">
        <v>0.8</v>
      </c>
      <c r="G17" s="60">
        <v>1</v>
      </c>
      <c r="H17" s="60">
        <v>1.2</v>
      </c>
      <c r="I17" s="60">
        <v>1.2</v>
      </c>
      <c r="J17" s="60">
        <v>1.5</v>
      </c>
      <c r="K17" s="60">
        <v>2</v>
      </c>
      <c r="L17" s="60">
        <v>2.4</v>
      </c>
      <c r="M17" s="60">
        <v>2.7</v>
      </c>
      <c r="N17" s="5"/>
      <c r="O17" s="5"/>
    </row>
    <row r="18" spans="1:16">
      <c r="A18" s="5"/>
      <c r="B18" s="58" t="s">
        <v>71</v>
      </c>
      <c r="C18" s="60">
        <v>1.5</v>
      </c>
      <c r="D18" s="60">
        <v>2.1</v>
      </c>
      <c r="E18" s="60">
        <v>2.5</v>
      </c>
      <c r="F18" s="60">
        <v>3</v>
      </c>
      <c r="G18" s="60">
        <v>3.5</v>
      </c>
      <c r="H18" s="60">
        <v>3.95</v>
      </c>
      <c r="I18" s="60">
        <v>4.0999999999999996</v>
      </c>
      <c r="J18" s="60">
        <v>5</v>
      </c>
      <c r="K18" s="60">
        <v>6</v>
      </c>
      <c r="L18" s="60">
        <v>6.7</v>
      </c>
      <c r="M18" s="60">
        <v>7.3</v>
      </c>
      <c r="N18" s="5"/>
      <c r="O18" s="5"/>
    </row>
    <row r="19" spans="1:16">
      <c r="A19" s="5"/>
      <c r="B19" s="58" t="s">
        <v>72</v>
      </c>
      <c r="C19" s="60">
        <v>1.36</v>
      </c>
      <c r="D19" s="60">
        <v>1.99</v>
      </c>
      <c r="E19" s="60">
        <v>2.63</v>
      </c>
      <c r="F19" s="60">
        <v>3.1</v>
      </c>
      <c r="G19" s="60">
        <v>3.71</v>
      </c>
      <c r="H19" s="60">
        <v>4.16</v>
      </c>
      <c r="I19" s="60">
        <v>4.6100000000000003</v>
      </c>
      <c r="J19" s="60">
        <v>5.5</v>
      </c>
      <c r="K19" s="60">
        <v>6</v>
      </c>
      <c r="L19" s="60">
        <v>6.5</v>
      </c>
      <c r="M19" s="60">
        <v>7</v>
      </c>
      <c r="N19" s="5"/>
      <c r="O19" s="5"/>
    </row>
    <row r="20" spans="1:16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1:16" ht="15.75">
      <c r="A21" s="141" t="s">
        <v>73</v>
      </c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</row>
    <row r="22" spans="1:16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1:16">
      <c r="A23" s="5"/>
      <c r="B23" s="5"/>
      <c r="C23" s="5" t="s">
        <v>58</v>
      </c>
      <c r="D23" s="54" t="s">
        <v>59</v>
      </c>
      <c r="E23" s="57">
        <v>3.5</v>
      </c>
      <c r="F23" s="5"/>
      <c r="G23" s="5"/>
      <c r="H23" s="5"/>
      <c r="I23" s="5"/>
      <c r="J23" s="5"/>
      <c r="K23" s="5"/>
      <c r="L23" s="54" t="s">
        <v>56</v>
      </c>
      <c r="M23" s="57" t="s">
        <v>74</v>
      </c>
      <c r="N23" s="5"/>
      <c r="O23" s="5"/>
    </row>
    <row r="24" spans="1:16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61"/>
    </row>
    <row r="25" spans="1:16" ht="15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61"/>
    </row>
    <row r="26" spans="1:16" ht="15" customHeight="1">
      <c r="A26" s="5"/>
      <c r="B26" s="142" t="s">
        <v>75</v>
      </c>
      <c r="C26" s="143"/>
      <c r="D26" s="143"/>
      <c r="E26" s="143"/>
      <c r="F26" s="144"/>
      <c r="G26" s="5"/>
      <c r="H26" s="142" t="s">
        <v>76</v>
      </c>
      <c r="I26" s="145"/>
      <c r="J26" s="145"/>
      <c r="K26" s="145"/>
      <c r="L26" s="145"/>
      <c r="M26" s="146"/>
      <c r="N26" s="5"/>
      <c r="O26" s="5"/>
      <c r="P26" s="61"/>
    </row>
    <row r="27" spans="1:16">
      <c r="A27" s="5"/>
      <c r="B27" s="58" t="s">
        <v>62</v>
      </c>
      <c r="C27" s="60">
        <v>2</v>
      </c>
      <c r="D27" s="59">
        <v>3</v>
      </c>
      <c r="E27" s="60">
        <v>4</v>
      </c>
      <c r="F27" s="60">
        <v>5</v>
      </c>
      <c r="G27" s="55"/>
      <c r="H27" s="62" t="s">
        <v>62</v>
      </c>
      <c r="I27" s="60">
        <v>2</v>
      </c>
      <c r="J27" s="60">
        <v>3</v>
      </c>
      <c r="K27" s="60">
        <v>4</v>
      </c>
      <c r="L27" s="60">
        <v>5</v>
      </c>
      <c r="M27" s="60">
        <v>6</v>
      </c>
      <c r="N27" s="5"/>
      <c r="O27" s="5"/>
      <c r="P27" s="61"/>
    </row>
    <row r="28" spans="1:16">
      <c r="A28" s="5"/>
      <c r="B28" s="58" t="s">
        <v>63</v>
      </c>
      <c r="C28" s="60">
        <v>0.25</v>
      </c>
      <c r="D28" s="60">
        <v>0.25</v>
      </c>
      <c r="E28" s="60">
        <v>0.25</v>
      </c>
      <c r="F28" s="60">
        <v>0.25</v>
      </c>
      <c r="G28" s="5"/>
      <c r="H28" s="58" t="s">
        <v>63</v>
      </c>
      <c r="I28" s="60">
        <v>0.25</v>
      </c>
      <c r="J28" s="60">
        <v>0.25</v>
      </c>
      <c r="K28" s="60">
        <v>0.25</v>
      </c>
      <c r="L28" s="60">
        <v>0.25</v>
      </c>
      <c r="M28" s="60">
        <v>0.25</v>
      </c>
      <c r="N28" s="5"/>
      <c r="O28" s="5"/>
      <c r="P28" s="61"/>
    </row>
    <row r="29" spans="1:16">
      <c r="A29" s="5"/>
      <c r="B29" s="58" t="s">
        <v>64</v>
      </c>
      <c r="C29" s="60">
        <v>0.35</v>
      </c>
      <c r="D29" s="60">
        <v>0.35</v>
      </c>
      <c r="E29" s="60">
        <v>0.4</v>
      </c>
      <c r="F29" s="60">
        <v>0.45</v>
      </c>
      <c r="G29" s="5"/>
      <c r="H29" s="58" t="s">
        <v>64</v>
      </c>
      <c r="I29" s="60">
        <v>0.35</v>
      </c>
      <c r="J29" s="60">
        <v>0.35</v>
      </c>
      <c r="K29" s="60">
        <v>0.4</v>
      </c>
      <c r="L29" s="60">
        <v>0.45</v>
      </c>
      <c r="M29" s="60">
        <v>0.5</v>
      </c>
      <c r="N29" s="5"/>
      <c r="O29" s="5"/>
      <c r="P29" s="61"/>
    </row>
    <row r="30" spans="1:16">
      <c r="A30" s="5"/>
      <c r="B30" s="58" t="s">
        <v>65</v>
      </c>
      <c r="C30" s="60">
        <v>0.35</v>
      </c>
      <c r="D30" s="60">
        <v>0.4</v>
      </c>
      <c r="E30" s="60">
        <v>0.4</v>
      </c>
      <c r="F30" s="60">
        <v>0.7</v>
      </c>
      <c r="G30" s="5"/>
      <c r="H30" s="58" t="s">
        <v>65</v>
      </c>
      <c r="I30" s="60">
        <v>0.3</v>
      </c>
      <c r="J30" s="60">
        <v>0.3</v>
      </c>
      <c r="K30" s="60">
        <v>0.3</v>
      </c>
      <c r="L30" s="60">
        <v>0.4</v>
      </c>
      <c r="M30" s="60">
        <v>0.5</v>
      </c>
      <c r="N30" s="5"/>
      <c r="O30" s="5"/>
      <c r="P30" s="61"/>
    </row>
    <row r="31" spans="1:16">
      <c r="A31" s="5"/>
      <c r="B31" s="58" t="s">
        <v>66</v>
      </c>
      <c r="C31" s="60">
        <v>0.35</v>
      </c>
      <c r="D31" s="60">
        <v>0.3</v>
      </c>
      <c r="E31" s="60">
        <v>0.3</v>
      </c>
      <c r="F31" s="60">
        <v>0.3</v>
      </c>
      <c r="G31" s="5"/>
      <c r="H31" s="58" t="s">
        <v>67</v>
      </c>
      <c r="I31" s="60">
        <v>0.4</v>
      </c>
      <c r="J31" s="60">
        <v>0.4</v>
      </c>
      <c r="K31" s="60">
        <v>0.4</v>
      </c>
      <c r="L31" s="60">
        <v>0.55000000000000004</v>
      </c>
      <c r="M31" s="60">
        <v>0.75</v>
      </c>
      <c r="N31" s="5"/>
      <c r="O31" s="5"/>
      <c r="P31" s="61"/>
    </row>
    <row r="32" spans="1:16">
      <c r="A32" s="5"/>
      <c r="B32" s="58" t="s">
        <v>67</v>
      </c>
      <c r="C32" s="60">
        <v>0.5</v>
      </c>
      <c r="D32" s="60">
        <v>0.6</v>
      </c>
      <c r="E32" s="60">
        <v>0.6</v>
      </c>
      <c r="F32" s="60">
        <v>0.6</v>
      </c>
      <c r="G32" s="5"/>
      <c r="H32" s="58" t="s">
        <v>68</v>
      </c>
      <c r="I32" s="60">
        <v>0.1</v>
      </c>
      <c r="J32" s="60">
        <v>0.1</v>
      </c>
      <c r="K32" s="60">
        <v>0.1</v>
      </c>
      <c r="L32" s="60">
        <v>0.1</v>
      </c>
      <c r="M32" s="60">
        <v>0.2</v>
      </c>
      <c r="N32" s="5"/>
      <c r="O32" s="5"/>
      <c r="P32" s="61"/>
    </row>
    <row r="33" spans="1:16">
      <c r="A33" s="5"/>
      <c r="B33" s="58" t="s">
        <v>68</v>
      </c>
      <c r="C33" s="60">
        <v>0.4</v>
      </c>
      <c r="D33" s="60">
        <v>0.4</v>
      </c>
      <c r="E33" s="60">
        <v>0.4</v>
      </c>
      <c r="F33" s="60">
        <v>0.4</v>
      </c>
      <c r="G33" s="5"/>
      <c r="H33" s="58" t="s">
        <v>69</v>
      </c>
      <c r="I33" s="60">
        <v>0.35</v>
      </c>
      <c r="J33" s="60">
        <v>0.35</v>
      </c>
      <c r="K33" s="60">
        <v>0.6</v>
      </c>
      <c r="L33" s="60">
        <v>0.6</v>
      </c>
      <c r="M33" s="60">
        <v>0.6</v>
      </c>
      <c r="N33" s="5"/>
      <c r="O33" s="5"/>
      <c r="P33" s="61"/>
    </row>
    <row r="34" spans="1:16">
      <c r="A34" s="5"/>
      <c r="B34" s="58" t="s">
        <v>13</v>
      </c>
      <c r="C34" s="60">
        <v>0.25</v>
      </c>
      <c r="D34" s="60">
        <v>0.25</v>
      </c>
      <c r="E34" s="60">
        <v>0.25</v>
      </c>
      <c r="F34" s="60">
        <v>0.25</v>
      </c>
      <c r="G34" s="5"/>
      <c r="H34" s="58" t="s">
        <v>70</v>
      </c>
      <c r="I34" s="60">
        <v>0.35</v>
      </c>
      <c r="J34" s="60">
        <v>0.35</v>
      </c>
      <c r="K34" s="60">
        <v>0.35</v>
      </c>
      <c r="L34" s="60">
        <v>0.35</v>
      </c>
      <c r="M34" s="60">
        <v>0.35</v>
      </c>
      <c r="N34" s="5"/>
      <c r="O34" s="5"/>
      <c r="P34" s="61"/>
    </row>
    <row r="35" spans="1:16">
      <c r="A35" s="5"/>
      <c r="B35" s="58" t="s">
        <v>21</v>
      </c>
      <c r="C35" s="60">
        <v>0.6</v>
      </c>
      <c r="D35" s="60">
        <v>1.1000000000000001</v>
      </c>
      <c r="E35" s="60">
        <v>2</v>
      </c>
      <c r="F35" s="60">
        <v>2.7</v>
      </c>
      <c r="G35" s="5"/>
      <c r="H35" s="58" t="s">
        <v>13</v>
      </c>
      <c r="I35" s="60">
        <v>1.5</v>
      </c>
      <c r="J35" s="60">
        <v>1.5</v>
      </c>
      <c r="K35" s="60">
        <v>2.2000000000000002</v>
      </c>
      <c r="L35" s="60">
        <v>2.5499999999999998</v>
      </c>
      <c r="M35" s="60">
        <v>3</v>
      </c>
      <c r="N35" s="5"/>
      <c r="O35" s="5"/>
      <c r="P35" s="61"/>
    </row>
    <row r="36" spans="1:16">
      <c r="A36" s="5"/>
      <c r="B36" s="58" t="s">
        <v>71</v>
      </c>
      <c r="C36" s="60">
        <v>1.2</v>
      </c>
      <c r="D36" s="60">
        <v>1.7</v>
      </c>
      <c r="E36" s="60">
        <v>2.6</v>
      </c>
      <c r="F36" s="60">
        <v>3.4</v>
      </c>
      <c r="G36" s="5"/>
      <c r="H36" s="58" t="s">
        <v>71</v>
      </c>
      <c r="I36" s="60">
        <v>1.85</v>
      </c>
      <c r="J36" s="60">
        <v>1.85</v>
      </c>
      <c r="K36" s="60">
        <v>2.6</v>
      </c>
      <c r="L36" s="60">
        <v>3</v>
      </c>
      <c r="M36" s="60">
        <v>3.5</v>
      </c>
      <c r="N36" s="5"/>
      <c r="O36" s="5"/>
      <c r="P36" s="61"/>
    </row>
    <row r="37" spans="1:16">
      <c r="A37" s="5"/>
      <c r="B37" s="58" t="s">
        <v>72</v>
      </c>
      <c r="C37" s="60">
        <v>1.36</v>
      </c>
      <c r="D37" s="60">
        <v>2</v>
      </c>
      <c r="E37" s="60">
        <v>2.2000000000000002</v>
      </c>
      <c r="F37" s="60">
        <v>2</v>
      </c>
      <c r="G37" s="5"/>
      <c r="H37" s="58" t="s">
        <v>72</v>
      </c>
      <c r="I37" s="60">
        <v>1.36</v>
      </c>
      <c r="J37" s="60">
        <v>1.99</v>
      </c>
      <c r="K37" s="60">
        <v>2.63</v>
      </c>
      <c r="L37" s="60">
        <v>3.1</v>
      </c>
      <c r="M37" s="60">
        <v>4</v>
      </c>
      <c r="N37" s="5"/>
      <c r="O37" s="5"/>
      <c r="P37" s="61"/>
    </row>
    <row r="38" spans="1:16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</row>
    <row r="39" spans="1:16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</row>
    <row r="40" spans="1:16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1:16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</row>
    <row r="42" spans="1:16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</row>
    <row r="43" spans="1:16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</row>
    <row r="44" spans="1:16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</row>
    <row r="45" spans="1:16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1:16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</row>
    <row r="47" spans="1:16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</row>
    <row r="48" spans="1:16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</row>
    <row r="49" spans="1:1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  <row r="50" spans="1:1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</row>
    <row r="51" spans="1:1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</row>
    <row r="52" spans="1:1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</row>
    <row r="53" spans="1:1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</row>
    <row r="54" spans="1:1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</row>
    <row r="55" spans="1:1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</row>
    <row r="57" spans="1:1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</row>
    <row r="58" spans="1:1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</row>
    <row r="59" spans="1:1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</row>
    <row r="60" spans="1:1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</row>
    <row r="61" spans="1:1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</row>
    <row r="62" spans="1:1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</row>
  </sheetData>
  <sheetProtection formatCells="0" formatColumns="0" formatRows="0" insertColumns="0" insertRows="0" insertHyperlinks="0" deleteColumns="0" deleteRows="0" sort="0" autoFilter="0" pivotTables="0"/>
  <mergeCells count="5">
    <mergeCell ref="A1:O1"/>
    <mergeCell ref="B6:M6"/>
    <mergeCell ref="A21:O21"/>
    <mergeCell ref="B26:F26"/>
    <mergeCell ref="H26:M26"/>
  </mergeCells>
  <dataValidations count="7">
    <dataValidation type="list" allowBlank="1" showInputMessage="1" showErrorMessage="1" sqref="M4">
      <formula1>"yes,no"</formula1>
    </dataValidation>
    <dataValidation type="list" allowBlank="1" showInputMessage="1" showErrorMessage="1" sqref="M3 M23">
      <formula1>"Right,Left"</formula1>
    </dataValidation>
    <dataValidation type="textLength" allowBlank="1" showInputMessage="1" showErrorMessage="1" errorTitle="can not edit" error="INVALID ENTRY" sqref="I27:M37">
      <formula1>0</formula1>
      <formula2>0</formula2>
    </dataValidation>
    <dataValidation type="textLength" allowBlank="1" showInputMessage="1" showErrorMessage="1" sqref="C27:F37">
      <formula1>0</formula1>
      <formula2>0</formula2>
    </dataValidation>
    <dataValidation type="textLength" allowBlank="1" showInputMessage="1" showErrorMessage="1" error="invalid_entry" sqref="C7:M19">
      <formula1>0</formula1>
      <formula2>0</formula2>
    </dataValidation>
    <dataValidation allowBlank="1" showInputMessage="1" showErrorMessage="1" errorTitle="can not edit" error="INVALID ENTRY" sqref="O27:O37"/>
    <dataValidation type="list" allowBlank="1" showInputMessage="1" showErrorMessage="1" sqref="H3 H22">
      <formula1>"pier,no_pier"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0">
    <tabColor theme="3"/>
  </sheetPr>
  <dimension ref="A1:O39"/>
  <sheetViews>
    <sheetView workbookViewId="0">
      <selection activeCell="E13" sqref="E13"/>
    </sheetView>
  </sheetViews>
  <sheetFormatPr defaultRowHeight="15"/>
  <cols>
    <col min="1" max="15" width="5.85546875" customWidth="1"/>
  </cols>
  <sheetData>
    <row r="1" spans="1:15" ht="15.75">
      <c r="A1" s="137" t="s">
        <v>77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1:15" hidden="1">
      <c r="A2" s="6">
        <v>17</v>
      </c>
      <c r="B2" s="5"/>
      <c r="C2" s="5"/>
      <c r="D2" s="5"/>
      <c r="E2" s="5"/>
      <c r="F2" s="5"/>
      <c r="G2" s="5"/>
      <c r="H2" s="5"/>
      <c r="I2" s="49"/>
      <c r="J2" s="67"/>
      <c r="K2" s="49"/>
      <c r="L2" s="67"/>
      <c r="M2" s="49"/>
      <c r="N2" s="67"/>
      <c r="O2" s="67"/>
    </row>
    <row r="3" spans="1:15" hidden="1">
      <c r="A3" s="4"/>
      <c r="B3" s="5"/>
      <c r="C3" s="5"/>
      <c r="D3" s="5"/>
      <c r="E3" s="5"/>
      <c r="F3" s="2"/>
      <c r="G3" s="2"/>
      <c r="H3" s="5"/>
      <c r="I3" s="49"/>
      <c r="K3" s="49"/>
      <c r="M3" s="49"/>
    </row>
    <row r="4" spans="1:15" hidden="1">
      <c r="A4" s="4"/>
      <c r="B4" s="5"/>
      <c r="C4" s="5"/>
      <c r="D4" s="5"/>
      <c r="E4" s="5"/>
      <c r="F4" s="2"/>
      <c r="G4" s="2"/>
      <c r="H4" s="2"/>
      <c r="I4" s="3"/>
      <c r="K4" s="3"/>
      <c r="M4" s="3"/>
    </row>
    <row r="5" spans="1:15">
      <c r="A5" s="68"/>
      <c r="B5" s="69"/>
      <c r="C5" s="69"/>
      <c r="D5" s="69"/>
      <c r="E5" s="69"/>
      <c r="F5" s="69"/>
      <c r="G5" s="70"/>
      <c r="H5" s="70"/>
      <c r="I5" s="70"/>
      <c r="J5" s="70"/>
      <c r="K5" s="70"/>
      <c r="L5" s="70"/>
      <c r="M5" s="70"/>
      <c r="N5" s="70"/>
      <c r="O5" s="70"/>
    </row>
    <row r="6" spans="1:15">
      <c r="A6" s="9"/>
      <c r="B6" s="5"/>
      <c r="C6" s="32" t="s">
        <v>58</v>
      </c>
      <c r="D6" s="63" t="s">
        <v>59</v>
      </c>
      <c r="E6" s="64">
        <v>2.5</v>
      </c>
      <c r="F6" s="2"/>
      <c r="G6" s="2"/>
      <c r="H6" s="2"/>
      <c r="I6" s="2"/>
      <c r="J6" s="2"/>
      <c r="K6" s="2"/>
      <c r="L6" s="5"/>
      <c r="M6" s="2"/>
      <c r="N6" s="5"/>
      <c r="O6" s="5"/>
    </row>
    <row r="7" spans="1:15">
      <c r="A7" s="9"/>
      <c r="B7" s="5"/>
      <c r="C7" s="32"/>
      <c r="D7" s="5"/>
      <c r="E7" s="5"/>
      <c r="F7" s="2"/>
      <c r="G7" s="2"/>
      <c r="H7" s="2"/>
      <c r="I7" s="2"/>
      <c r="J7" s="2"/>
      <c r="K7" s="2"/>
      <c r="L7" s="5"/>
      <c r="M7" s="2"/>
      <c r="N7" s="5"/>
      <c r="O7" s="5"/>
    </row>
    <row r="8" spans="1:15">
      <c r="A8" s="9"/>
      <c r="B8" s="5"/>
      <c r="C8" s="32"/>
      <c r="D8" s="5"/>
      <c r="E8" s="5"/>
      <c r="F8" s="2"/>
      <c r="G8" s="2"/>
      <c r="H8" s="2"/>
      <c r="I8" s="2"/>
      <c r="J8" s="2"/>
      <c r="K8" s="2"/>
      <c r="L8" s="5"/>
      <c r="M8" s="2"/>
      <c r="N8" s="5"/>
      <c r="O8" s="5"/>
    </row>
    <row r="9" spans="1:15">
      <c r="A9" s="9"/>
      <c r="B9" s="5"/>
      <c r="C9" s="32"/>
      <c r="D9" s="5"/>
      <c r="E9" s="5"/>
      <c r="F9" s="2"/>
      <c r="G9" s="2"/>
      <c r="H9" s="2"/>
      <c r="I9" s="2"/>
      <c r="J9" s="2"/>
      <c r="K9" s="2"/>
      <c r="L9" s="5"/>
      <c r="M9" s="2"/>
      <c r="N9" s="5"/>
      <c r="O9" s="5"/>
    </row>
    <row r="10" spans="1:15">
      <c r="A10" s="9"/>
      <c r="B10" s="5"/>
      <c r="C10" s="32"/>
      <c r="D10" s="5"/>
      <c r="E10" s="5"/>
      <c r="F10" s="2"/>
      <c r="G10" s="2"/>
      <c r="H10" s="2"/>
      <c r="I10" s="2"/>
      <c r="J10" s="2"/>
      <c r="K10" s="2"/>
      <c r="L10" s="5"/>
      <c r="M10" s="2"/>
      <c r="N10" s="5"/>
      <c r="O10" s="5"/>
    </row>
    <row r="11" spans="1:15">
      <c r="A11" s="9"/>
      <c r="B11" s="5"/>
      <c r="C11" s="32"/>
      <c r="D11" s="5"/>
      <c r="E11" s="5"/>
      <c r="F11" s="2"/>
      <c r="G11" s="2"/>
      <c r="H11" s="2"/>
      <c r="I11" s="2"/>
      <c r="J11" s="2"/>
      <c r="K11" s="2"/>
      <c r="L11" s="5"/>
      <c r="M11" s="2"/>
      <c r="N11" s="5"/>
      <c r="O11" s="5"/>
    </row>
    <row r="12" spans="1:15">
      <c r="A12" s="9"/>
      <c r="B12" s="5"/>
      <c r="C12" s="32"/>
      <c r="D12" s="5"/>
      <c r="E12" s="5"/>
      <c r="F12" s="2"/>
      <c r="G12" s="2"/>
      <c r="H12" s="2"/>
      <c r="I12" s="2"/>
      <c r="J12" s="2"/>
      <c r="K12" s="2"/>
      <c r="L12" s="5"/>
      <c r="M12" s="2"/>
      <c r="N12" s="5"/>
      <c r="O12" s="5"/>
    </row>
    <row r="13" spans="1:15">
      <c r="A13" s="9"/>
      <c r="B13" s="5"/>
      <c r="C13" s="32"/>
      <c r="D13" s="5"/>
      <c r="E13" s="5"/>
      <c r="F13" s="2"/>
      <c r="G13" s="2"/>
      <c r="H13" s="2"/>
      <c r="I13" s="2"/>
      <c r="J13" s="2"/>
      <c r="K13" s="2"/>
      <c r="L13" s="5"/>
      <c r="M13" s="2"/>
      <c r="N13" s="5"/>
      <c r="O13" s="5"/>
    </row>
    <row r="14" spans="1:15">
      <c r="A14" s="9"/>
      <c r="B14" s="5"/>
      <c r="C14" s="32"/>
      <c r="D14" s="5"/>
      <c r="E14" s="5"/>
      <c r="F14" s="2"/>
      <c r="G14" s="2"/>
      <c r="H14" s="2"/>
      <c r="I14" s="2"/>
      <c r="J14" s="2"/>
      <c r="K14" s="2"/>
      <c r="L14" s="5"/>
      <c r="M14" s="2"/>
      <c r="N14" s="5"/>
      <c r="O14" s="5"/>
    </row>
    <row r="15" spans="1:15">
      <c r="A15" s="9"/>
      <c r="B15" s="5"/>
      <c r="C15" s="32"/>
      <c r="D15" s="5"/>
      <c r="E15" s="5"/>
      <c r="F15" s="2"/>
      <c r="G15" s="2"/>
      <c r="H15" s="2"/>
      <c r="I15" s="2"/>
      <c r="J15" s="2"/>
      <c r="K15" s="2"/>
      <c r="L15" s="5"/>
      <c r="M15" s="2"/>
      <c r="N15" s="5"/>
      <c r="O15" s="5"/>
    </row>
    <row r="16" spans="1:15">
      <c r="A16" s="9"/>
      <c r="B16" s="5"/>
      <c r="C16" s="32"/>
      <c r="D16" s="5"/>
      <c r="E16" s="5"/>
      <c r="F16" s="2"/>
      <c r="G16" s="2"/>
      <c r="H16" s="2"/>
      <c r="I16" s="2"/>
      <c r="J16" s="2"/>
      <c r="K16" s="2"/>
      <c r="L16" s="5"/>
      <c r="M16" s="2"/>
      <c r="N16" s="5"/>
      <c r="O16" s="5"/>
    </row>
    <row r="17" spans="1:15">
      <c r="A17" s="9"/>
      <c r="B17" s="5"/>
      <c r="C17" s="32"/>
      <c r="D17" s="5"/>
      <c r="E17" s="5"/>
      <c r="F17" s="2"/>
      <c r="G17" s="2"/>
      <c r="H17" s="2"/>
      <c r="I17" s="2"/>
      <c r="J17" s="2"/>
      <c r="K17" s="2"/>
      <c r="L17" s="5"/>
      <c r="M17" s="2"/>
      <c r="N17" s="5"/>
      <c r="O17" s="5"/>
    </row>
    <row r="18" spans="1:15">
      <c r="A18" s="9"/>
      <c r="B18" s="5"/>
      <c r="C18" s="32"/>
      <c r="D18" s="5"/>
      <c r="E18" s="5"/>
      <c r="F18" s="2"/>
      <c r="G18" s="2"/>
      <c r="H18" s="2"/>
      <c r="I18" s="2"/>
      <c r="J18" s="2"/>
      <c r="K18" s="2"/>
      <c r="L18" s="5"/>
      <c r="M18" s="2"/>
      <c r="N18" s="5"/>
      <c r="O18" s="5"/>
    </row>
    <row r="19" spans="1:15">
      <c r="A19" s="9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65"/>
    </row>
    <row r="20" spans="1:15">
      <c r="A20" s="44"/>
      <c r="B20" s="46"/>
      <c r="C20" s="46"/>
      <c r="D20" s="39"/>
      <c r="E20" s="46"/>
      <c r="F20" s="39"/>
      <c r="G20" s="39"/>
      <c r="H20" s="39"/>
      <c r="I20" s="39"/>
      <c r="J20" s="39"/>
      <c r="K20" s="39"/>
      <c r="L20" s="39"/>
      <c r="M20" s="39"/>
      <c r="N20" s="39"/>
      <c r="O20" s="39"/>
    </row>
    <row r="21" spans="1:15" ht="15.75">
      <c r="A21" s="141" t="s">
        <v>78</v>
      </c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</row>
    <row r="22" spans="1:15">
      <c r="A22" s="68"/>
      <c r="B22" s="69"/>
      <c r="C22" s="69"/>
      <c r="D22" s="69"/>
      <c r="E22" s="69"/>
      <c r="F22" s="69"/>
      <c r="G22" s="70"/>
      <c r="H22" s="70"/>
      <c r="I22" s="70"/>
      <c r="J22" s="70"/>
      <c r="K22" s="70"/>
      <c r="L22" s="70"/>
      <c r="M22" s="70"/>
      <c r="N22" s="70"/>
      <c r="O22" s="70"/>
    </row>
    <row r="23" spans="1:15">
      <c r="A23" s="9"/>
      <c r="B23" s="5"/>
      <c r="C23" s="32" t="s">
        <v>58</v>
      </c>
      <c r="D23" s="63" t="s">
        <v>59</v>
      </c>
      <c r="E23" s="64">
        <v>3.5</v>
      </c>
      <c r="F23" s="2"/>
      <c r="G23" s="2"/>
      <c r="H23" s="2"/>
      <c r="I23" s="2"/>
      <c r="J23" s="2"/>
      <c r="K23" s="2"/>
      <c r="L23" s="5"/>
      <c r="M23" s="2"/>
      <c r="N23" s="5"/>
      <c r="O23" s="5"/>
    </row>
    <row r="24" spans="1:15">
      <c r="A24" s="9"/>
      <c r="B24" s="5"/>
      <c r="C24" s="32"/>
      <c r="D24" s="65"/>
      <c r="E24" s="65"/>
      <c r="F24" s="2"/>
      <c r="G24" s="2"/>
      <c r="H24" s="2"/>
      <c r="I24" s="2"/>
      <c r="J24" s="2"/>
      <c r="K24" s="2"/>
      <c r="L24" s="5"/>
      <c r="M24" s="2"/>
      <c r="N24" s="5"/>
      <c r="O24" s="5"/>
    </row>
    <row r="25" spans="1:15">
      <c r="A25" s="9"/>
      <c r="B25" s="5"/>
      <c r="C25" s="32"/>
      <c r="D25" s="65"/>
      <c r="E25" s="65"/>
      <c r="F25" s="2"/>
      <c r="G25" s="2"/>
      <c r="H25" s="2"/>
      <c r="I25" s="2"/>
      <c r="J25" s="2"/>
      <c r="K25" s="2"/>
      <c r="L25" s="5"/>
      <c r="M25" s="2"/>
      <c r="N25" s="5"/>
      <c r="O25" s="5"/>
    </row>
    <row r="26" spans="1:15">
      <c r="A26" s="9"/>
      <c r="B26" s="5"/>
      <c r="C26" s="32"/>
      <c r="D26" s="65"/>
      <c r="E26" s="65"/>
      <c r="F26" s="2"/>
      <c r="G26" s="2"/>
      <c r="H26" s="2"/>
      <c r="I26" s="2"/>
      <c r="J26" s="2"/>
      <c r="K26" s="2"/>
      <c r="L26" s="5"/>
      <c r="M26" s="2"/>
      <c r="N26" s="5"/>
      <c r="O26" s="5"/>
    </row>
    <row r="27" spans="1:15">
      <c r="A27" s="9"/>
      <c r="B27" s="5"/>
      <c r="C27" s="32"/>
      <c r="D27" s="65"/>
      <c r="E27" s="65"/>
      <c r="F27" s="2"/>
      <c r="G27" s="2"/>
      <c r="H27" s="2"/>
      <c r="I27" s="2"/>
      <c r="J27" s="2"/>
      <c r="K27" s="2"/>
      <c r="L27" s="5"/>
      <c r="M27" s="2"/>
      <c r="N27" s="5"/>
      <c r="O27" s="5"/>
    </row>
    <row r="28" spans="1:15">
      <c r="A28" s="9"/>
      <c r="B28" s="5"/>
      <c r="C28" s="32"/>
      <c r="D28" s="65"/>
      <c r="E28" s="65"/>
      <c r="F28" s="2"/>
      <c r="G28" s="2"/>
      <c r="H28" s="2"/>
      <c r="I28" s="2"/>
      <c r="J28" s="2"/>
      <c r="K28" s="2"/>
      <c r="L28" s="5"/>
      <c r="M28" s="2"/>
      <c r="N28" s="5"/>
      <c r="O28" s="5"/>
    </row>
    <row r="29" spans="1:15">
      <c r="A29" s="9"/>
      <c r="B29" s="5"/>
      <c r="C29" s="32"/>
      <c r="D29" s="65"/>
      <c r="E29" s="65"/>
      <c r="F29" s="2"/>
      <c r="G29" s="2"/>
      <c r="H29" s="2"/>
      <c r="I29" s="2"/>
      <c r="J29" s="2"/>
      <c r="K29" s="2"/>
      <c r="L29" s="5"/>
      <c r="M29" s="2"/>
      <c r="N29" s="5"/>
      <c r="O29" s="5"/>
    </row>
    <row r="30" spans="1:15">
      <c r="A30" s="9"/>
      <c r="B30" s="5"/>
      <c r="C30" s="32"/>
      <c r="D30" s="65"/>
      <c r="E30" s="65"/>
      <c r="F30" s="2"/>
      <c r="G30" s="2"/>
      <c r="H30" s="2"/>
      <c r="I30" s="2"/>
      <c r="J30" s="2"/>
      <c r="K30" s="2"/>
      <c r="L30" s="5"/>
      <c r="M30" s="2"/>
      <c r="N30" s="5"/>
      <c r="O30" s="5"/>
    </row>
    <row r="31" spans="1:15">
      <c r="A31" s="9"/>
      <c r="B31" s="5"/>
      <c r="C31" s="32"/>
      <c r="D31" s="65"/>
      <c r="E31" s="65"/>
      <c r="F31" s="2"/>
      <c r="G31" s="2"/>
      <c r="H31" s="2"/>
      <c r="I31" s="2"/>
      <c r="J31" s="2"/>
      <c r="K31" s="2"/>
      <c r="L31" s="5"/>
      <c r="M31" s="2"/>
      <c r="N31" s="5"/>
      <c r="O31" s="5"/>
    </row>
    <row r="32" spans="1:15">
      <c r="A32" s="9"/>
      <c r="B32" s="5"/>
      <c r="C32" s="32"/>
      <c r="D32" s="65"/>
      <c r="E32" s="65"/>
      <c r="F32" s="2"/>
      <c r="G32" s="2"/>
      <c r="H32" s="2"/>
      <c r="I32" s="2"/>
      <c r="J32" s="2"/>
      <c r="K32" s="2"/>
      <c r="L32" s="5"/>
      <c r="M32" s="2"/>
      <c r="N32" s="5"/>
      <c r="O32" s="5"/>
    </row>
    <row r="33" spans="1:15">
      <c r="A33" s="9"/>
      <c r="B33" s="5"/>
      <c r="C33" s="32"/>
      <c r="D33" s="65"/>
      <c r="E33" s="65"/>
      <c r="F33" s="2"/>
      <c r="G33" s="2"/>
      <c r="H33" s="2"/>
      <c r="I33" s="2"/>
      <c r="J33" s="2"/>
      <c r="K33" s="2"/>
      <c r="L33" s="5"/>
      <c r="M33" s="2"/>
      <c r="N33" s="5"/>
      <c r="O33" s="5"/>
    </row>
    <row r="34" spans="1:15">
      <c r="A34" s="9"/>
      <c r="B34" s="5"/>
      <c r="C34" s="32"/>
      <c r="D34" s="65"/>
      <c r="E34" s="65"/>
      <c r="F34" s="2"/>
      <c r="G34" s="2"/>
      <c r="H34" s="2"/>
      <c r="I34" s="2"/>
      <c r="J34" s="2"/>
      <c r="K34" s="2"/>
      <c r="L34" s="5"/>
      <c r="M34" s="2"/>
      <c r="N34" s="5"/>
      <c r="O34" s="5"/>
    </row>
    <row r="35" spans="1:15">
      <c r="A35" s="9"/>
      <c r="B35" s="5"/>
      <c r="C35" s="32"/>
      <c r="D35" s="65"/>
      <c r="E35" s="65"/>
      <c r="F35" s="2"/>
      <c r="G35" s="2"/>
      <c r="H35" s="2"/>
      <c r="I35" s="2"/>
      <c r="J35" s="2"/>
      <c r="K35" s="2"/>
      <c r="L35" s="5"/>
      <c r="M35" s="2"/>
      <c r="N35" s="5"/>
      <c r="O35" s="5"/>
    </row>
    <row r="36" spans="1:15">
      <c r="A36" s="9"/>
      <c r="B36" s="5"/>
      <c r="C36" s="32"/>
      <c r="D36" s="65"/>
      <c r="E36" s="65"/>
      <c r="F36" s="2"/>
      <c r="G36" s="2"/>
      <c r="H36" s="2"/>
      <c r="I36" s="2"/>
      <c r="J36" s="2"/>
      <c r="K36" s="2"/>
      <c r="L36" s="5"/>
      <c r="M36" s="2"/>
      <c r="N36" s="5"/>
      <c r="O36" s="5"/>
    </row>
    <row r="37" spans="1:15">
      <c r="A37" s="9"/>
      <c r="B37" s="5"/>
      <c r="C37" s="32"/>
      <c r="D37" s="65"/>
      <c r="E37" s="65"/>
      <c r="F37" s="2"/>
      <c r="G37" s="2"/>
      <c r="H37" s="2"/>
      <c r="I37" s="2"/>
      <c r="J37" s="2"/>
      <c r="K37" s="2"/>
      <c r="L37" s="5"/>
      <c r="M37" s="2"/>
      <c r="N37" s="5"/>
      <c r="O37" s="5"/>
    </row>
    <row r="38" spans="1:15">
      <c r="A38" s="9"/>
      <c r="B38" s="5"/>
      <c r="C38" s="5"/>
      <c r="D38" s="65"/>
      <c r="E38" s="65"/>
      <c r="F38" s="66"/>
      <c r="G38" s="65"/>
      <c r="H38" s="2"/>
      <c r="I38" s="2"/>
      <c r="J38" s="2"/>
      <c r="K38" s="2"/>
      <c r="L38" s="65"/>
      <c r="M38" s="2"/>
      <c r="N38" s="65"/>
      <c r="O38" s="65"/>
    </row>
    <row r="39" spans="1:15">
      <c r="A39" s="44"/>
      <c r="B39" s="46"/>
      <c r="C39" s="46"/>
      <c r="D39" s="39"/>
      <c r="E39" s="46"/>
      <c r="F39" s="39"/>
      <c r="G39" s="39"/>
      <c r="H39" s="39"/>
      <c r="I39" s="39"/>
      <c r="J39" s="39"/>
      <c r="K39" s="39"/>
      <c r="L39" s="39"/>
      <c r="M39" s="39"/>
      <c r="N39" s="39"/>
      <c r="O39" s="39"/>
    </row>
  </sheetData>
  <mergeCells count="2">
    <mergeCell ref="A1:O1"/>
    <mergeCell ref="A21:O21"/>
  </mergeCells>
  <dataValidations disablePrompts="1" count="1">
    <dataValidation type="list" allowBlank="1" showInputMessage="1" showErrorMessage="1" sqref="H5 H22">
      <formula1>"pier,no_pier"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>
    <tabColor theme="5" tint="0.39997558519241921"/>
  </sheetPr>
  <dimension ref="A1:J26"/>
  <sheetViews>
    <sheetView workbookViewId="0">
      <selection activeCell="B13" sqref="B13"/>
    </sheetView>
  </sheetViews>
  <sheetFormatPr defaultRowHeight="15"/>
  <cols>
    <col min="1" max="1" width="2.42578125" customWidth="1"/>
    <col min="2" max="2" width="12" customWidth="1"/>
    <col min="3" max="3" width="9.7109375" customWidth="1"/>
    <col min="4" max="4" width="10.7109375" customWidth="1"/>
    <col min="10" max="10" width="9" customWidth="1"/>
  </cols>
  <sheetData>
    <row r="1" spans="1:10">
      <c r="A1" s="47" t="s">
        <v>84</v>
      </c>
      <c r="B1" s="36"/>
      <c r="C1" s="36"/>
      <c r="D1" s="36"/>
      <c r="E1" s="36"/>
      <c r="F1" s="36"/>
      <c r="G1" s="36"/>
      <c r="H1" s="73"/>
      <c r="I1" s="73"/>
      <c r="J1" s="41"/>
    </row>
    <row r="2" spans="1:10">
      <c r="A2" s="6">
        <v>17</v>
      </c>
      <c r="B2" s="5" t="s">
        <v>79</v>
      </c>
      <c r="C2" s="71">
        <v>1</v>
      </c>
      <c r="D2" s="5">
        <f>C2-0.01</f>
        <v>0.99</v>
      </c>
      <c r="E2" s="5" t="s">
        <v>80</v>
      </c>
      <c r="F2" s="5"/>
      <c r="G2" s="5"/>
      <c r="H2" s="5"/>
      <c r="I2" s="5"/>
      <c r="J2" s="5"/>
    </row>
    <row r="3" spans="1:10">
      <c r="A3" s="4"/>
      <c r="B3" s="5" t="s">
        <v>81</v>
      </c>
      <c r="C3" s="5"/>
      <c r="D3" s="5" t="s">
        <v>1</v>
      </c>
      <c r="E3" s="5"/>
      <c r="F3" s="2"/>
      <c r="G3" s="2"/>
      <c r="H3" s="5"/>
      <c r="I3" s="5"/>
      <c r="J3" s="5"/>
    </row>
    <row r="4" spans="1:10">
      <c r="A4" s="4"/>
      <c r="B4" s="8">
        <v>1</v>
      </c>
      <c r="C4" s="1" t="s">
        <v>0</v>
      </c>
      <c r="D4" s="72">
        <v>-1.26</v>
      </c>
      <c r="E4" s="5"/>
      <c r="F4" s="2"/>
      <c r="G4" s="2"/>
      <c r="H4" s="2"/>
      <c r="I4" s="2"/>
      <c r="J4" s="2"/>
    </row>
    <row r="5" spans="1:10">
      <c r="A5" s="1"/>
      <c r="B5" s="5" t="s">
        <v>82</v>
      </c>
      <c r="C5" s="5"/>
      <c r="D5" s="2"/>
      <c r="E5" s="5"/>
      <c r="F5" s="2"/>
      <c r="G5" s="2"/>
      <c r="H5" s="2"/>
      <c r="I5" s="2"/>
      <c r="J5" s="2"/>
    </row>
    <row r="6" spans="1:10">
      <c r="A6" s="1"/>
      <c r="B6" s="8">
        <v>2.5</v>
      </c>
      <c r="C6" s="5"/>
      <c r="D6" s="2"/>
      <c r="E6" s="5"/>
      <c r="F6" s="2"/>
      <c r="G6" s="2"/>
      <c r="H6" s="2"/>
      <c r="I6" s="2"/>
      <c r="J6" s="2"/>
    </row>
    <row r="7" spans="1:10">
      <c r="A7" s="1"/>
      <c r="B7" s="5"/>
      <c r="C7" s="5"/>
      <c r="D7" s="5" t="s">
        <v>83</v>
      </c>
      <c r="E7" s="5"/>
      <c r="F7" s="2"/>
      <c r="G7" s="2"/>
      <c r="H7" s="2"/>
      <c r="I7" s="2"/>
      <c r="J7" s="2"/>
    </row>
    <row r="8" spans="1:10">
      <c r="A8" s="1"/>
      <c r="B8" s="1"/>
      <c r="C8" s="5"/>
      <c r="D8" s="2"/>
      <c r="E8" s="5"/>
      <c r="F8" s="2"/>
      <c r="G8" s="2"/>
      <c r="H8" s="2"/>
      <c r="I8" s="2"/>
      <c r="J8" s="2"/>
    </row>
    <row r="9" spans="1:10">
      <c r="A9" s="1"/>
      <c r="B9" s="1"/>
      <c r="C9" s="5"/>
      <c r="D9" s="2"/>
      <c r="E9" s="5"/>
      <c r="F9" s="2"/>
      <c r="G9" s="2"/>
      <c r="H9" s="2"/>
      <c r="I9" s="2"/>
      <c r="J9" s="2"/>
    </row>
    <row r="10" spans="1:10">
      <c r="A10" s="1"/>
      <c r="B10" s="1"/>
      <c r="C10" s="5"/>
      <c r="D10" s="2"/>
      <c r="E10" s="5"/>
      <c r="F10" s="2"/>
      <c r="G10" s="2"/>
      <c r="H10" s="2"/>
      <c r="I10" s="2"/>
      <c r="J10" s="2"/>
    </row>
    <row r="11" spans="1:10">
      <c r="A11" s="1"/>
      <c r="B11" s="1"/>
      <c r="C11" s="5"/>
      <c r="D11" s="2"/>
      <c r="E11" s="5"/>
      <c r="F11" s="2"/>
      <c r="G11" s="2"/>
      <c r="H11" s="2"/>
      <c r="I11" s="2"/>
      <c r="J11" s="2"/>
    </row>
    <row r="12" spans="1:10">
      <c r="A12" s="1"/>
      <c r="B12" s="1"/>
      <c r="C12" s="5"/>
      <c r="D12" s="2"/>
      <c r="E12" s="5"/>
      <c r="F12" s="2"/>
      <c r="G12" s="2"/>
      <c r="H12" s="2"/>
      <c r="I12" s="2"/>
      <c r="J12" s="2"/>
    </row>
    <row r="13" spans="1:10">
      <c r="A13" s="1"/>
      <c r="B13" s="1"/>
      <c r="C13" s="5"/>
      <c r="D13" s="2"/>
      <c r="E13" s="5"/>
      <c r="F13" s="2"/>
      <c r="G13" s="2"/>
      <c r="H13" s="2"/>
      <c r="I13" s="2"/>
      <c r="J13" s="2"/>
    </row>
    <row r="14" spans="1:10">
      <c r="A14" s="1"/>
      <c r="B14" s="1"/>
      <c r="C14" s="5"/>
      <c r="D14" s="2"/>
      <c r="E14" s="5"/>
      <c r="F14" s="2"/>
      <c r="G14" s="2"/>
      <c r="H14" s="2"/>
      <c r="I14" s="2"/>
      <c r="J14" s="2"/>
    </row>
    <row r="15" spans="1:10">
      <c r="A15" s="1"/>
      <c r="B15" s="1"/>
      <c r="C15" s="5"/>
      <c r="D15" s="2"/>
      <c r="E15" s="5"/>
      <c r="F15" s="2"/>
      <c r="G15" s="2"/>
      <c r="H15" s="2"/>
      <c r="I15" s="2"/>
      <c r="J15" s="2"/>
    </row>
    <row r="16" spans="1:10">
      <c r="A16" s="1"/>
      <c r="B16" s="1"/>
      <c r="C16" s="5"/>
      <c r="D16" s="2"/>
      <c r="E16" s="5"/>
      <c r="F16" s="2"/>
      <c r="G16" s="2"/>
      <c r="H16" s="2"/>
      <c r="I16" s="2"/>
      <c r="J16" s="2"/>
    </row>
    <row r="17" spans="1:10">
      <c r="A17" s="1"/>
      <c r="B17" s="1"/>
      <c r="C17" s="5"/>
      <c r="D17" s="2"/>
      <c r="E17" s="5"/>
      <c r="F17" s="2"/>
      <c r="G17" s="2"/>
      <c r="H17" s="2"/>
      <c r="I17" s="2"/>
      <c r="J17" s="2"/>
    </row>
    <row r="18" spans="1:10">
      <c r="A18" s="1"/>
      <c r="B18" s="1"/>
      <c r="C18" s="5"/>
      <c r="D18" s="2"/>
      <c r="E18" s="5"/>
      <c r="F18" s="2"/>
      <c r="G18" s="2"/>
      <c r="H18" s="2"/>
      <c r="I18" s="2"/>
      <c r="J18" s="2"/>
    </row>
    <row r="19" spans="1:10">
      <c r="A19" s="1"/>
      <c r="B19" s="1"/>
      <c r="C19" s="5"/>
      <c r="D19" s="2"/>
      <c r="E19" s="5"/>
      <c r="F19" s="2"/>
      <c r="G19" s="2"/>
      <c r="H19" s="2"/>
      <c r="I19" s="2"/>
      <c r="J19" s="2"/>
    </row>
    <row r="20" spans="1:10">
      <c r="A20" s="1"/>
      <c r="B20" s="1"/>
      <c r="C20" s="5"/>
      <c r="D20" s="2"/>
      <c r="E20" s="5"/>
      <c r="F20" s="2"/>
      <c r="G20" s="2"/>
      <c r="H20" s="2"/>
      <c r="I20" s="2"/>
      <c r="J20" s="2"/>
    </row>
    <row r="21" spans="1:10">
      <c r="A21" s="1"/>
      <c r="B21" s="1"/>
      <c r="C21" s="5"/>
      <c r="D21" s="2"/>
      <c r="E21" s="5"/>
      <c r="F21" s="2"/>
      <c r="G21" s="2"/>
      <c r="H21" s="2"/>
      <c r="I21" s="2"/>
      <c r="J21" s="2"/>
    </row>
    <row r="22" spans="1:10">
      <c r="A22" s="1"/>
      <c r="B22" s="1"/>
      <c r="C22" s="5"/>
      <c r="D22" s="2"/>
      <c r="E22" s="5"/>
      <c r="F22" s="2"/>
      <c r="G22" s="2"/>
      <c r="H22" s="2"/>
      <c r="I22" s="2"/>
      <c r="J22" s="2"/>
    </row>
    <row r="23" spans="1:10">
      <c r="A23" s="1"/>
      <c r="B23" s="5"/>
      <c r="C23" s="5"/>
      <c r="D23" s="2"/>
      <c r="E23" s="5"/>
      <c r="F23" s="2"/>
      <c r="G23" s="2"/>
      <c r="H23" s="2"/>
      <c r="I23" s="2"/>
      <c r="J23" s="2"/>
    </row>
    <row r="24" spans="1:10">
      <c r="A24" s="1"/>
      <c r="B24" s="1"/>
      <c r="C24" s="5"/>
      <c r="D24" s="2"/>
      <c r="E24" s="5"/>
      <c r="F24" s="2"/>
      <c r="G24" s="2"/>
      <c r="H24" s="2"/>
      <c r="I24" s="2"/>
      <c r="J24" s="2"/>
    </row>
    <row r="25" spans="1:10">
      <c r="A25" s="1"/>
      <c r="B25" s="1"/>
      <c r="C25" s="5"/>
      <c r="D25" s="2"/>
      <c r="E25" s="5"/>
      <c r="F25" s="2"/>
      <c r="G25" s="2"/>
      <c r="H25" s="2"/>
      <c r="I25" s="2"/>
      <c r="J25" s="2"/>
    </row>
    <row r="26" spans="1:10">
      <c r="A26" s="45"/>
      <c r="B26" s="45"/>
      <c r="C26" s="46"/>
      <c r="D26" s="39"/>
      <c r="E26" s="46"/>
      <c r="F26" s="39"/>
      <c r="G26" s="39"/>
      <c r="H26" s="2"/>
      <c r="I26" s="2"/>
      <c r="J26" s="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3">
    <tabColor theme="5" tint="0.39997558519241921"/>
  </sheetPr>
  <dimension ref="A1:L42"/>
  <sheetViews>
    <sheetView tabSelected="1" zoomScale="90" zoomScaleNormal="90" workbookViewId="0">
      <selection activeCell="E14" sqref="E14:E15"/>
    </sheetView>
  </sheetViews>
  <sheetFormatPr defaultRowHeight="15"/>
  <cols>
    <col min="1" max="1" width="2.42578125" customWidth="1"/>
    <col min="2" max="3" width="10.28515625" customWidth="1"/>
    <col min="4" max="4" width="10.7109375" customWidth="1"/>
    <col min="7" max="7" width="11.85546875" customWidth="1"/>
    <col min="9" max="9" width="9.140625" customWidth="1"/>
    <col min="10" max="11" width="9" customWidth="1"/>
    <col min="12" max="12" width="5.42578125" customWidth="1"/>
  </cols>
  <sheetData>
    <row r="1" spans="1:12">
      <c r="A1" s="47" t="s">
        <v>130</v>
      </c>
      <c r="B1" s="36"/>
      <c r="C1" s="36"/>
      <c r="D1" s="36"/>
      <c r="E1" s="36"/>
      <c r="F1" s="36"/>
      <c r="G1" s="36"/>
      <c r="H1" s="36"/>
      <c r="I1" s="36"/>
      <c r="J1" s="37"/>
      <c r="K1" s="37"/>
      <c r="L1" s="37"/>
    </row>
    <row r="2" spans="1:12">
      <c r="A2" s="6">
        <v>17</v>
      </c>
      <c r="B2" s="5"/>
      <c r="C2" s="5"/>
      <c r="D2" s="5"/>
      <c r="E2" s="5"/>
      <c r="F2" s="5"/>
      <c r="G2" s="5"/>
      <c r="H2" s="5"/>
      <c r="I2" s="5"/>
      <c r="J2" s="5"/>
      <c r="K2" s="5"/>
      <c r="L2" s="49"/>
    </row>
    <row r="3" spans="1:12">
      <c r="A3" s="4"/>
      <c r="B3" s="5" t="s">
        <v>131</v>
      </c>
      <c r="C3" s="5"/>
      <c r="D3" s="5"/>
      <c r="E3" s="5"/>
      <c r="F3" s="2"/>
      <c r="G3" s="2"/>
      <c r="H3" s="5"/>
      <c r="I3" s="5"/>
      <c r="J3" s="5"/>
      <c r="K3" s="5"/>
      <c r="L3" s="49"/>
    </row>
    <row r="4" spans="1:12">
      <c r="A4" s="4"/>
      <c r="B4" s="81" t="s">
        <v>132</v>
      </c>
      <c r="C4" s="81"/>
      <c r="D4" s="81"/>
      <c r="E4" s="5"/>
      <c r="F4" s="2"/>
      <c r="G4" s="2"/>
      <c r="H4" s="2"/>
      <c r="I4" s="2"/>
      <c r="J4" s="2"/>
      <c r="K4" s="2"/>
      <c r="L4" s="3"/>
    </row>
    <row r="5" spans="1:12">
      <c r="A5" s="1"/>
      <c r="B5" s="81">
        <v>0.3</v>
      </c>
      <c r="C5" s="81"/>
      <c r="D5" s="156"/>
      <c r="E5" s="5"/>
      <c r="F5" s="2"/>
      <c r="G5" s="2"/>
      <c r="H5" s="2"/>
      <c r="I5" s="2"/>
      <c r="J5" s="2"/>
      <c r="K5" s="2"/>
      <c r="L5" s="3"/>
    </row>
    <row r="6" spans="1:12">
      <c r="A6" s="1"/>
      <c r="B6" s="5"/>
      <c r="C6" s="5"/>
      <c r="D6" s="2"/>
      <c r="E6" s="5"/>
      <c r="F6" s="2"/>
      <c r="G6" s="2"/>
      <c r="H6" s="2"/>
      <c r="I6" s="2"/>
      <c r="J6" s="2"/>
      <c r="K6" s="2"/>
      <c r="L6" s="3"/>
    </row>
    <row r="7" spans="1:12">
      <c r="A7" s="1"/>
      <c r="B7" s="81" t="s">
        <v>119</v>
      </c>
      <c r="C7" s="5"/>
      <c r="D7" s="5"/>
      <c r="E7" s="5"/>
      <c r="F7" s="2"/>
      <c r="G7" s="2"/>
      <c r="H7" s="2"/>
      <c r="I7" s="2"/>
      <c r="J7" s="2"/>
      <c r="K7" s="2"/>
      <c r="L7" s="3"/>
    </row>
    <row r="8" spans="1:12">
      <c r="A8" s="1"/>
      <c r="B8" s="75"/>
      <c r="C8" s="5"/>
      <c r="D8" s="2"/>
      <c r="E8" s="5"/>
      <c r="F8" s="2"/>
      <c r="G8" s="2"/>
      <c r="H8" s="2"/>
      <c r="I8" s="2"/>
      <c r="J8" s="2"/>
      <c r="K8" s="2"/>
      <c r="L8" s="3"/>
    </row>
    <row r="9" spans="1:12">
      <c r="A9" s="1"/>
      <c r="B9" s="1"/>
      <c r="C9" s="5"/>
      <c r="D9" s="2"/>
      <c r="E9" s="108" t="s">
        <v>121</v>
      </c>
      <c r="F9" s="109"/>
      <c r="G9" s="109"/>
      <c r="H9" s="109"/>
      <c r="I9" s="110"/>
      <c r="J9" s="2"/>
      <c r="K9" s="2"/>
      <c r="L9" s="3"/>
    </row>
    <row r="10" spans="1:12" ht="15" customHeight="1">
      <c r="A10" s="1"/>
      <c r="B10" s="153" t="s">
        <v>89</v>
      </c>
      <c r="C10" s="153"/>
      <c r="D10" s="154" t="s">
        <v>90</v>
      </c>
      <c r="E10" s="149" t="s">
        <v>113</v>
      </c>
      <c r="F10" s="100"/>
      <c r="G10" s="151" t="s">
        <v>116</v>
      </c>
      <c r="H10" s="152" t="s">
        <v>117</v>
      </c>
      <c r="I10" s="147" t="s">
        <v>118</v>
      </c>
      <c r="J10" s="147" t="s">
        <v>120</v>
      </c>
      <c r="K10" s="147" t="s">
        <v>9</v>
      </c>
      <c r="L10" s="3"/>
    </row>
    <row r="11" spans="1:12">
      <c r="A11" s="1"/>
      <c r="B11" s="87" t="s">
        <v>114</v>
      </c>
      <c r="C11" s="87" t="s">
        <v>115</v>
      </c>
      <c r="D11" s="155"/>
      <c r="E11" s="150"/>
      <c r="F11" s="105" t="s">
        <v>23</v>
      </c>
      <c r="G11" s="135"/>
      <c r="H11" s="126"/>
      <c r="I11" s="136"/>
      <c r="J11" s="136"/>
      <c r="K11" s="136"/>
      <c r="L11" s="3"/>
    </row>
    <row r="12" spans="1:12">
      <c r="A12" s="1"/>
      <c r="B12" s="8">
        <v>0.2</v>
      </c>
      <c r="C12" s="8">
        <v>0.3</v>
      </c>
      <c r="D12" s="8">
        <v>0.43</v>
      </c>
      <c r="E12" s="8">
        <v>2</v>
      </c>
      <c r="F12" s="106">
        <f>INDEX(C24:J24,,MATCH(E12,C20:J20,1))</f>
        <v>3.3340000000000001</v>
      </c>
      <c r="G12" s="75">
        <v>0.3</v>
      </c>
      <c r="H12" s="104">
        <v>1</v>
      </c>
      <c r="I12" s="101">
        <f>COS(35*PI()/180)*(INDEX($C$21:$J$21,,MATCH(E12,$C$20:$J$20,1)))</f>
        <v>1.8840497018646809</v>
      </c>
      <c r="J12" s="99">
        <v>0.3</v>
      </c>
      <c r="K12" s="111">
        <f>INDEX(C23:J23,,MATCH(E12,C20:J20,1))</f>
        <v>4.1500000000000004</v>
      </c>
      <c r="L12" s="3"/>
    </row>
    <row r="13" spans="1:12">
      <c r="A13" s="1"/>
      <c r="B13" s="5"/>
      <c r="C13" s="5"/>
      <c r="D13" s="86"/>
      <c r="E13" s="108" t="s">
        <v>121</v>
      </c>
      <c r="F13" s="109"/>
      <c r="G13" s="109"/>
      <c r="H13" s="109"/>
      <c r="I13" s="110"/>
      <c r="J13" s="2"/>
      <c r="K13" s="2"/>
      <c r="L13" s="3"/>
    </row>
    <row r="14" spans="1:12">
      <c r="A14" s="1"/>
      <c r="B14" s="86"/>
      <c r="C14" s="86"/>
      <c r="D14" s="103"/>
      <c r="E14" s="149" t="s">
        <v>113</v>
      </c>
      <c r="F14" s="100"/>
      <c r="G14" s="151" t="s">
        <v>116</v>
      </c>
      <c r="H14" s="152" t="s">
        <v>117</v>
      </c>
      <c r="I14" s="147" t="s">
        <v>118</v>
      </c>
      <c r="J14" s="147" t="s">
        <v>9</v>
      </c>
      <c r="K14" s="2"/>
      <c r="L14" s="3"/>
    </row>
    <row r="15" spans="1:12">
      <c r="A15" s="1"/>
      <c r="B15" s="86"/>
      <c r="C15" s="86"/>
      <c r="D15" s="86"/>
      <c r="E15" s="150"/>
      <c r="F15" s="105" t="s">
        <v>23</v>
      </c>
      <c r="G15" s="135"/>
      <c r="H15" s="126"/>
      <c r="I15" s="136"/>
      <c r="J15" s="136"/>
      <c r="K15" s="2"/>
      <c r="L15" s="3"/>
    </row>
    <row r="16" spans="1:12" ht="16.5" customHeight="1">
      <c r="A16" s="1"/>
      <c r="B16" s="5"/>
      <c r="C16" s="5"/>
      <c r="D16" s="2"/>
      <c r="E16" s="8">
        <v>2</v>
      </c>
      <c r="F16" s="106">
        <f>INDEX(C24:J24,,MATCH(E16,C20:J20,1))</f>
        <v>3.3340000000000001</v>
      </c>
      <c r="G16" s="107">
        <v>0.3</v>
      </c>
      <c r="H16" s="104">
        <v>1</v>
      </c>
      <c r="I16" s="101">
        <f>COS(35*PI()/180)*(INDEX($C$21:$J$21,,MATCH(E16,$C$20:$J$20,1)))</f>
        <v>1.8840497018646809</v>
      </c>
      <c r="J16" s="111">
        <f>INDEX(C23:J23,,MATCH(E16,C20:J20,1))</f>
        <v>4.1500000000000004</v>
      </c>
      <c r="K16" s="2"/>
      <c r="L16" s="3"/>
    </row>
    <row r="17" spans="1:12" ht="16.5" customHeight="1">
      <c r="A17" s="1"/>
      <c r="B17" s="5"/>
      <c r="C17" s="5"/>
      <c r="D17" s="2"/>
      <c r="E17" s="5"/>
      <c r="F17" s="5"/>
      <c r="G17" s="5"/>
      <c r="H17" s="5"/>
      <c r="I17" s="5"/>
      <c r="J17" s="2"/>
      <c r="K17" s="2"/>
      <c r="L17" s="3"/>
    </row>
    <row r="18" spans="1:12">
      <c r="A18" s="1"/>
      <c r="B18" s="92" t="s">
        <v>96</v>
      </c>
      <c r="C18" s="93"/>
      <c r="D18" s="94"/>
      <c r="E18" s="93"/>
      <c r="F18" s="93"/>
      <c r="G18" s="93"/>
      <c r="H18" s="93"/>
      <c r="I18" s="95"/>
      <c r="J18" s="113"/>
      <c r="K18" s="2"/>
      <c r="L18" s="3"/>
    </row>
    <row r="19" spans="1:12" ht="17.25">
      <c r="A19" s="1"/>
      <c r="B19" s="78" t="s">
        <v>91</v>
      </c>
      <c r="C19" s="88"/>
      <c r="D19" s="89" t="s">
        <v>92</v>
      </c>
      <c r="E19" s="88"/>
      <c r="F19" s="88"/>
      <c r="G19" s="88" t="s">
        <v>93</v>
      </c>
      <c r="H19" s="88"/>
      <c r="I19" s="88"/>
      <c r="J19" s="88"/>
      <c r="K19" s="2"/>
      <c r="L19" s="3"/>
    </row>
    <row r="20" spans="1:12">
      <c r="A20" s="1"/>
      <c r="B20" s="74" t="s">
        <v>94</v>
      </c>
      <c r="C20" s="90">
        <v>1</v>
      </c>
      <c r="D20" s="90">
        <v>1.5</v>
      </c>
      <c r="E20" s="90">
        <v>2</v>
      </c>
      <c r="F20" s="90">
        <v>2.5</v>
      </c>
      <c r="G20" s="90">
        <v>3</v>
      </c>
      <c r="H20" s="90">
        <v>3.5</v>
      </c>
      <c r="I20" s="90">
        <v>4</v>
      </c>
      <c r="J20" s="90">
        <v>4.5</v>
      </c>
      <c r="K20" s="112"/>
      <c r="L20" s="114"/>
    </row>
    <row r="21" spans="1:12">
      <c r="A21" s="1"/>
      <c r="B21" s="74" t="s">
        <v>95</v>
      </c>
      <c r="C21" s="90">
        <v>1.5</v>
      </c>
      <c r="D21" s="90">
        <v>1.9</v>
      </c>
      <c r="E21" s="90">
        <v>2.2999999999999998</v>
      </c>
      <c r="F21" s="90">
        <v>2.6</v>
      </c>
      <c r="G21" s="90">
        <v>3</v>
      </c>
      <c r="H21" s="90">
        <v>3.4</v>
      </c>
      <c r="I21" s="90">
        <v>3.8</v>
      </c>
      <c r="J21" s="90">
        <v>4.2</v>
      </c>
      <c r="K21" s="112"/>
      <c r="L21" s="3"/>
    </row>
    <row r="22" spans="1:12">
      <c r="A22" s="1"/>
      <c r="B22" s="74" t="s">
        <v>62</v>
      </c>
      <c r="C22" s="90">
        <v>2.5</v>
      </c>
      <c r="D22" s="90">
        <v>3</v>
      </c>
      <c r="E22" s="90">
        <v>3.5</v>
      </c>
      <c r="F22" s="90">
        <v>4</v>
      </c>
      <c r="G22" s="90">
        <v>4.5</v>
      </c>
      <c r="H22" s="90">
        <v>5</v>
      </c>
      <c r="I22" s="90">
        <v>5.5</v>
      </c>
      <c r="J22" s="90">
        <v>6</v>
      </c>
      <c r="K22" s="112"/>
      <c r="L22" s="3"/>
    </row>
    <row r="23" spans="1:12">
      <c r="A23" s="1"/>
      <c r="B23" s="74" t="s">
        <v>9</v>
      </c>
      <c r="C23" s="90">
        <v>3.15</v>
      </c>
      <c r="D23" s="90">
        <v>3.65</v>
      </c>
      <c r="E23" s="90">
        <v>4.1500000000000004</v>
      </c>
      <c r="F23" s="90">
        <v>4.6500000000000004</v>
      </c>
      <c r="G23" s="90">
        <v>5.15</v>
      </c>
      <c r="H23" s="90">
        <v>5.65</v>
      </c>
      <c r="I23" s="90">
        <v>6.15</v>
      </c>
      <c r="J23" s="90">
        <v>6.65</v>
      </c>
      <c r="K23" s="112"/>
      <c r="L23" s="3"/>
    </row>
    <row r="24" spans="1:12">
      <c r="A24" s="1"/>
      <c r="B24" s="74" t="s">
        <v>23</v>
      </c>
      <c r="C24" s="90">
        <v>2.7120000000000002</v>
      </c>
      <c r="D24" s="90">
        <v>3.0230000000000001</v>
      </c>
      <c r="E24" s="90">
        <v>3.3340000000000001</v>
      </c>
      <c r="F24" s="90">
        <v>3.6930000000000001</v>
      </c>
      <c r="G24" s="90">
        <v>4.0039999999999996</v>
      </c>
      <c r="H24" s="90">
        <v>4.3159999999999998</v>
      </c>
      <c r="I24" s="90">
        <v>4.6269999999999998</v>
      </c>
      <c r="J24" s="90">
        <v>4.9390000000000001</v>
      </c>
      <c r="K24" s="112"/>
      <c r="L24" s="3"/>
    </row>
    <row r="25" spans="1:12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3"/>
    </row>
    <row r="26" spans="1:12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1:12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3"/>
    </row>
    <row r="28" spans="1:12">
      <c r="A28" s="1"/>
      <c r="B28" s="65"/>
      <c r="C28" s="65"/>
      <c r="D28" s="65"/>
      <c r="E28" s="65"/>
      <c r="F28" s="65"/>
      <c r="G28" s="65"/>
      <c r="H28" s="2"/>
      <c r="I28" s="2"/>
      <c r="J28" s="2"/>
      <c r="K28" s="2"/>
      <c r="L28" s="3"/>
    </row>
    <row r="29" spans="1:12">
      <c r="A29" s="1"/>
      <c r="B29" s="96" t="s">
        <v>98</v>
      </c>
      <c r="C29" s="97"/>
      <c r="D29" s="97"/>
      <c r="E29" s="97"/>
      <c r="F29" s="97"/>
      <c r="G29" s="97"/>
      <c r="H29" s="93"/>
      <c r="I29" s="93"/>
      <c r="J29" s="98"/>
      <c r="K29" s="2"/>
      <c r="L29" s="3"/>
    </row>
    <row r="30" spans="1:12">
      <c r="A30" s="1"/>
      <c r="B30" s="148" t="s">
        <v>97</v>
      </c>
      <c r="C30" s="135" t="s">
        <v>99</v>
      </c>
      <c r="D30" s="136"/>
      <c r="E30" s="136" t="s">
        <v>102</v>
      </c>
      <c r="F30" s="136"/>
      <c r="G30" s="136" t="s">
        <v>101</v>
      </c>
      <c r="H30" s="136"/>
      <c r="I30" s="136" t="s">
        <v>100</v>
      </c>
      <c r="J30" s="136"/>
      <c r="K30" s="2"/>
      <c r="L30" s="3"/>
    </row>
    <row r="31" spans="1:12" ht="48" customHeight="1">
      <c r="A31" s="1"/>
      <c r="B31" s="148"/>
      <c r="C31" s="74" t="s">
        <v>104</v>
      </c>
      <c r="D31" s="74" t="s">
        <v>105</v>
      </c>
      <c r="E31" s="74" t="s">
        <v>104</v>
      </c>
      <c r="F31" s="74" t="s">
        <v>105</v>
      </c>
      <c r="G31" s="74" t="s">
        <v>104</v>
      </c>
      <c r="H31" s="74" t="s">
        <v>105</v>
      </c>
      <c r="I31" s="74" t="s">
        <v>104</v>
      </c>
      <c r="J31" s="74" t="s">
        <v>105</v>
      </c>
      <c r="K31" s="2"/>
      <c r="L31" s="3"/>
    </row>
    <row r="32" spans="1:12">
      <c r="A32" s="1"/>
      <c r="B32" s="91" t="s">
        <v>103</v>
      </c>
      <c r="C32" s="74">
        <v>2.5</v>
      </c>
      <c r="D32" s="74">
        <v>10</v>
      </c>
      <c r="E32" s="74">
        <v>2.5</v>
      </c>
      <c r="F32" s="74">
        <v>10</v>
      </c>
      <c r="G32" s="74">
        <v>2.5</v>
      </c>
      <c r="H32" s="74">
        <v>8</v>
      </c>
      <c r="I32" s="74">
        <v>2.5</v>
      </c>
      <c r="J32" s="74">
        <v>8</v>
      </c>
      <c r="K32" s="2"/>
      <c r="L32" s="3"/>
    </row>
    <row r="33" spans="1:12">
      <c r="A33" s="1"/>
      <c r="B33" s="65"/>
      <c r="C33" s="65"/>
      <c r="D33" s="65"/>
      <c r="E33" s="65"/>
      <c r="F33" s="65"/>
      <c r="G33" s="65"/>
      <c r="H33" s="2"/>
      <c r="I33" s="2"/>
      <c r="J33" s="2"/>
      <c r="K33" s="2"/>
      <c r="L33" s="3"/>
    </row>
    <row r="34" spans="1:12">
      <c r="A34" s="1"/>
      <c r="B34" s="96" t="s">
        <v>106</v>
      </c>
      <c r="C34" s="97"/>
      <c r="D34" s="97"/>
      <c r="E34" s="97"/>
      <c r="F34" s="97"/>
      <c r="G34" s="97"/>
      <c r="H34" s="93"/>
      <c r="I34" s="93"/>
      <c r="J34" s="98"/>
      <c r="K34" s="2"/>
      <c r="L34" s="3"/>
    </row>
    <row r="35" spans="1:12">
      <c r="A35" s="1"/>
      <c r="B35" s="148" t="s">
        <v>97</v>
      </c>
      <c r="C35" s="135" t="s">
        <v>99</v>
      </c>
      <c r="D35" s="136"/>
      <c r="E35" s="136" t="s">
        <v>102</v>
      </c>
      <c r="F35" s="136"/>
      <c r="G35" s="136" t="s">
        <v>101</v>
      </c>
      <c r="H35" s="136"/>
      <c r="I35" s="136" t="s">
        <v>100</v>
      </c>
      <c r="J35" s="136"/>
      <c r="K35" s="65"/>
      <c r="L35" s="3"/>
    </row>
    <row r="36" spans="1:12" ht="44.25" customHeight="1">
      <c r="A36" s="1"/>
      <c r="B36" s="148"/>
      <c r="C36" s="74" t="s">
        <v>107</v>
      </c>
      <c r="D36" s="74" t="s">
        <v>108</v>
      </c>
      <c r="E36" s="74" t="s">
        <v>107</v>
      </c>
      <c r="F36" s="74" t="s">
        <v>108</v>
      </c>
      <c r="G36" s="74" t="s">
        <v>107</v>
      </c>
      <c r="H36" s="74" t="s">
        <v>108</v>
      </c>
      <c r="I36" s="74" t="s">
        <v>107</v>
      </c>
      <c r="J36" s="74" t="s">
        <v>108</v>
      </c>
      <c r="K36" s="65"/>
      <c r="L36" s="3"/>
    </row>
    <row r="37" spans="1:12">
      <c r="A37" s="1"/>
      <c r="B37" s="91" t="s">
        <v>110</v>
      </c>
      <c r="C37" s="74">
        <v>2.5</v>
      </c>
      <c r="D37" s="74">
        <v>10</v>
      </c>
      <c r="E37" s="74">
        <v>2.25</v>
      </c>
      <c r="F37" s="74">
        <v>8</v>
      </c>
      <c r="G37" s="74">
        <v>2.25</v>
      </c>
      <c r="H37" s="74">
        <v>8</v>
      </c>
      <c r="I37" s="74">
        <v>2</v>
      </c>
      <c r="J37" s="74">
        <v>8</v>
      </c>
      <c r="K37" s="65"/>
      <c r="L37" s="3"/>
    </row>
    <row r="38" spans="1:12">
      <c r="A38" s="1"/>
      <c r="B38" s="91" t="s">
        <v>109</v>
      </c>
      <c r="C38" s="74">
        <v>2.5</v>
      </c>
      <c r="D38" s="74">
        <v>10</v>
      </c>
      <c r="E38" s="74">
        <v>2.25</v>
      </c>
      <c r="F38" s="74">
        <v>8</v>
      </c>
      <c r="G38" s="74">
        <v>2</v>
      </c>
      <c r="H38" s="74">
        <v>8</v>
      </c>
      <c r="I38" s="74">
        <v>2</v>
      </c>
      <c r="J38" s="74">
        <v>7</v>
      </c>
      <c r="K38" s="65"/>
      <c r="L38" s="3"/>
    </row>
    <row r="39" spans="1:12">
      <c r="A39" s="1"/>
      <c r="B39" s="91" t="s">
        <v>111</v>
      </c>
      <c r="C39" s="74">
        <v>2.5</v>
      </c>
      <c r="D39" s="74">
        <v>10</v>
      </c>
      <c r="E39" s="74">
        <v>2</v>
      </c>
      <c r="F39" s="74">
        <v>8</v>
      </c>
      <c r="G39" s="74">
        <v>2</v>
      </c>
      <c r="H39" s="74">
        <v>8</v>
      </c>
      <c r="I39" s="74">
        <v>2</v>
      </c>
      <c r="J39" s="74">
        <v>6</v>
      </c>
      <c r="K39" s="65"/>
      <c r="L39" s="3"/>
    </row>
    <row r="40" spans="1:12">
      <c r="A40" s="1"/>
      <c r="B40" s="91" t="s">
        <v>112</v>
      </c>
      <c r="C40" s="74">
        <v>2.5</v>
      </c>
      <c r="D40" s="74">
        <v>10</v>
      </c>
      <c r="E40" s="74">
        <v>2</v>
      </c>
      <c r="F40" s="74">
        <v>8</v>
      </c>
      <c r="G40" s="74">
        <v>2</v>
      </c>
      <c r="H40" s="74">
        <v>8</v>
      </c>
      <c r="I40" s="74">
        <v>2</v>
      </c>
      <c r="J40" s="74">
        <v>5</v>
      </c>
      <c r="K40" s="65"/>
      <c r="L40" s="3"/>
    </row>
    <row r="41" spans="1:12">
      <c r="A41" s="1"/>
      <c r="B41" s="65"/>
      <c r="C41" s="65"/>
      <c r="D41" s="65"/>
      <c r="E41" s="65"/>
      <c r="F41" s="65"/>
      <c r="G41" s="65"/>
      <c r="H41" s="2"/>
      <c r="I41" s="2"/>
      <c r="J41" s="2"/>
      <c r="K41" s="2"/>
      <c r="L41" s="3"/>
    </row>
    <row r="42" spans="1:12">
      <c r="A42" s="45"/>
      <c r="B42" s="45"/>
      <c r="C42" s="46"/>
      <c r="D42" s="39"/>
      <c r="E42" s="46"/>
      <c r="F42" s="39"/>
      <c r="G42" s="39"/>
      <c r="H42" s="39"/>
      <c r="I42" s="39"/>
      <c r="J42" s="39"/>
      <c r="K42" s="39"/>
      <c r="L42" s="43"/>
    </row>
  </sheetData>
  <sheetProtection formatCells="0" formatColumns="0" formatRows="0" insertColumns="0" insertRows="0" insertHyperlinks="0" deleteColumns="0" deleteRows="0" sort="0" autoFilter="0" pivotTables="0"/>
  <mergeCells count="23">
    <mergeCell ref="I10:I11"/>
    <mergeCell ref="B10:C10"/>
    <mergeCell ref="E14:E15"/>
    <mergeCell ref="G14:G15"/>
    <mergeCell ref="H14:H15"/>
    <mergeCell ref="I14:I15"/>
    <mergeCell ref="D10:D11"/>
    <mergeCell ref="K10:K11"/>
    <mergeCell ref="J14:J15"/>
    <mergeCell ref="J10:J11"/>
    <mergeCell ref="I30:J30"/>
    <mergeCell ref="B35:B36"/>
    <mergeCell ref="C35:D35"/>
    <mergeCell ref="E35:F35"/>
    <mergeCell ref="G35:H35"/>
    <mergeCell ref="I35:J35"/>
    <mergeCell ref="B30:B31"/>
    <mergeCell ref="C30:D30"/>
    <mergeCell ref="E30:F30"/>
    <mergeCell ref="E10:E11"/>
    <mergeCell ref="G30:H30"/>
    <mergeCell ref="G10:G11"/>
    <mergeCell ref="H10:H11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"/>
  <dimension ref="B10:F14"/>
  <sheetViews>
    <sheetView workbookViewId="0">
      <selection activeCell="C5" sqref="C5"/>
    </sheetView>
  </sheetViews>
  <sheetFormatPr defaultRowHeight="15"/>
  <cols>
    <col min="2" max="2" width="9.7109375" bestFit="1" customWidth="1"/>
  </cols>
  <sheetData>
    <row r="10" spans="2:6">
      <c r="B10" t="s">
        <v>122</v>
      </c>
      <c r="C10" t="s">
        <v>123</v>
      </c>
      <c r="D10" t="s">
        <v>124</v>
      </c>
      <c r="E10" t="s">
        <v>125</v>
      </c>
    </row>
    <row r="12" spans="2:6">
      <c r="B12" t="s">
        <v>126</v>
      </c>
      <c r="C12" t="s">
        <v>127</v>
      </c>
      <c r="D12">
        <v>1</v>
      </c>
      <c r="E12">
        <v>0.38</v>
      </c>
      <c r="F12">
        <v>0.5</v>
      </c>
    </row>
    <row r="13" spans="2:6">
      <c r="B13" t="s">
        <v>128</v>
      </c>
      <c r="C13" t="s">
        <v>127</v>
      </c>
      <c r="D13">
        <v>2.5</v>
      </c>
      <c r="E13">
        <v>0.45</v>
      </c>
      <c r="F13">
        <v>2</v>
      </c>
    </row>
    <row r="14" spans="2:6">
      <c r="B14" t="s">
        <v>129</v>
      </c>
      <c r="C14" t="s">
        <v>127</v>
      </c>
      <c r="D14">
        <v>2</v>
      </c>
      <c r="E14">
        <v>0.43</v>
      </c>
      <c r="F14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main</vt:lpstr>
      <vt:lpstr>PipeEnd_data</vt:lpstr>
      <vt:lpstr>Manhole</vt:lpstr>
      <vt:lpstr>RW_Section</vt:lpstr>
      <vt:lpstr>RW_Massonary</vt:lpstr>
      <vt:lpstr>BOX_CU</vt:lpstr>
      <vt:lpstr>SLB_CU</vt:lpstr>
      <vt:lpstr>Sheet1</vt:lpstr>
      <vt:lpstr>a_double</vt:lpstr>
      <vt:lpstr>a_single</vt:lpstr>
      <vt:lpstr>a_title</vt:lpstr>
      <vt:lpstr>a_triple</vt:lpstr>
      <vt:lpstr>ai_double</vt:lpstr>
      <vt:lpstr>ai_single</vt:lpstr>
      <vt:lpstr>ai_title</vt:lpstr>
      <vt:lpstr>ai_triple</vt:lpstr>
      <vt:lpstr>b_double</vt:lpstr>
      <vt:lpstr>b_single</vt:lpstr>
      <vt:lpstr>b_title</vt:lpstr>
      <vt:lpstr>b_triple</vt:lpstr>
      <vt:lpstr>c_double</vt:lpstr>
      <vt:lpstr>c_single</vt:lpstr>
      <vt:lpstr>c_title</vt:lpstr>
      <vt:lpstr>c_triple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2020-09-06T22:56:35Z</cp:lastPrinted>
  <dcterms:created xsi:type="dcterms:W3CDTF">2020-04-07T10:57:46Z</dcterms:created>
  <dcterms:modified xsi:type="dcterms:W3CDTF">2020-09-07T02:20:32Z</dcterms:modified>
</cp:coreProperties>
</file>