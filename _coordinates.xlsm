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15" yWindow="3690" windowWidth="17430" windowHeight="6150" tabRatio="1000" activeTab="1"/>
  </bookViews>
  <sheets>
    <sheet name="pk_length" sheetId="1" r:id="rId1"/>
    <sheet name="pk_Text" sheetId="2" r:id="rId2"/>
    <sheet name="send_coordinates" sheetId="3" r:id="rId3"/>
    <sheet name="pk_coordinates" sheetId="4" r:id="rId4"/>
    <sheet name="slope" sheetId="5" r:id="rId5"/>
  </sheets>
  <functionGroups builtInGroupCount="17"/>
  <definedNames>
    <definedName name="_xlnm._FilterDatabase" localSheetId="1" hidden="1">pk_Text!$A$5:$A$138</definedName>
  </definedNames>
  <calcPr calcId="144525"/>
</workbook>
</file>

<file path=xl/calcChain.xml><?xml version="1.0" encoding="utf-8"?>
<calcChain xmlns="http://schemas.openxmlformats.org/spreadsheetml/2006/main">
  <c r="B1" i="2" l="1"/>
  <c r="B1" i="1"/>
  <c r="G2" i="3" l="1"/>
  <c r="C2" i="1"/>
</calcChain>
</file>

<file path=xl/comments1.xml><?xml version="1.0" encoding="utf-8"?>
<comments xmlns="http://schemas.openxmlformats.org/spreadsheetml/2006/main">
  <authors>
    <author>user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send coordinates to 
AutoCAD by selecting
Range of Coordinates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first selecct
ranges
then hit the button
collect points</t>
        </r>
      </text>
    </comment>
  </commentList>
</comments>
</file>

<file path=xl/sharedStrings.xml><?xml version="1.0" encoding="utf-8"?>
<sst xmlns="http://schemas.openxmlformats.org/spreadsheetml/2006/main" count="80" uniqueCount="57">
  <si>
    <t>obj</t>
  </si>
  <si>
    <t>length</t>
  </si>
  <si>
    <t xml:space="preserve">         </t>
  </si>
  <si>
    <t>Station</t>
  </si>
  <si>
    <t>X = 532318.8840 Y = 917884.2739</t>
  </si>
  <si>
    <t>eeee</t>
  </si>
  <si>
    <t>{\fTimes New Roman|b0|i0|c0|p18;           \LSLAB CULVERT PROFILE\P\lChainage-22+660\PName - Slab Culvert @grade\PNo of Cell - one\PClear Span - 2m\PClear Height - 1.75m\PSkew Angle - 0%%D\PSlab length-8.02m\PInvert Slope =1%\PDesign Elevation = 524.64\PInvert Elevation =522.32}</t>
  </si>
  <si>
    <t>{\fTimes New Roman|b0|i0|c0|p18;           \LSLAB CULVERT PROFILE\P\lChainage-25+400\PName - Slab Culvert @Fill\PNo of Cell - one\PClear Span - 4m\PClear Height - 2m\PSkew Angle - 0%%D\PSlab length-14.06m\PInvert Slope =1% to RHS \PDesign Elevation = 516.47\PInvert Elevation =513.90}</t>
  </si>
  <si>
    <t>{\fTimes New Roman|b0|i0|c0|p18;           \LSLAB CULVERT PROFILE\P\lChainage-33+240\PName - Slab Culvert @Fill\PNo of Cell - one\PClear Span - 5m\PClear Height - 2m\PSkew Angle - 0%%D\PSlab length-11.66m\PInvert Slope =1% to RHS \PDesign Elevation = 541.99\PInvert Elevation =539.14}</t>
  </si>
  <si>
    <t>{\fTimes New Roman|b0|i0|c0|p18;           \LSLAB CULVERT PROFILE\P\lChainage-2+560\PName - Slab Culvert @Fill\PNo of Cell - one\PClear Span - 3m\PClear Height - 1.75m\PSkew Angle - 0%%D\PSlab length-11.46m\PInvert Slope =0.5% to RHS \PDesign Elevation = 514.02\PInvert Elevation =511.715}</t>
  </si>
  <si>
    <t>{\fTimes New Roman|b0|i0|c0|p18;           \LSLAB CULVERT PROFILE\P\lChainage-3+050\PName - Slab Culvert @Fill\PNo of Cell - one\PClear Span - 2m\PClear Height - 1.75m\PSkew Angle - 0%%D\PSlab length-12.03m\PInvert Slope =1% to LHS \PDesign Elevation = 516.47\PInvert Elevation =513.90}</t>
  </si>
  <si>
    <t>{\fTimes New Roman|b0|i0|c0|p18;           \LSLAB CULVERT PROFILE\P\lChainage-3+540\PName - Slab Culvert @Fill\PNo of Cell - one\PClear Span - 4m\PClear Height - 1.75m\PSkew Angle - 0%%D\PSlab length-12.09m\PInvert Slope =1% to RHS \PDesign Elevation = 517.77\PInvert Elevation =515.08}</t>
  </si>
  <si>
    <t>23+146.8</t>
  </si>
  <si>
    <t>design by our data</t>
  </si>
  <si>
    <t>{\fTimes New Roman|b0|i0|c0|p18;           \LSLAB CULVERT PROFILE\P\lChainage-3+880\PName - Slab Culvert @Fill\PNo of Cell - one\PClear Span - 3m\PClear Height - 1.75m\PSkew Angle - 0%%D\PSlab length-11.32m\PInvert Slope =0.5% to RHS \PDesign Elevation = 518.31\PInvert Elevation =515.86}</t>
  </si>
  <si>
    <t>{\fTimes New Roman|b0|i0|c0|p18;           \LSLAB CULVERT PROFILE\P\lChainage-4+060\PName - Slab Culvert @Fill\PNo of Cell - one\PClear Span - 3m\PClear Height - 1.75m\PSkew Angle - 0%%D\PSlab length-11.46m\PInvert Slope =0.5% to RHS \PDesign Elevation = 518.60\PInvert Elevation =516.098}</t>
  </si>
  <si>
    <t>{\fTimes New Roman|b0|i0|c0|p18;           \LSLAB CULVERT PROFILE\P\lChainage-4+460\PName - Slab Culvert @Fill\PNo of Cell - one\PClear Span - 2m\PClear Height - 1.75m\PSkew Angle - 0%%D\PSlab length-11.45m\PInvert Slope =1% to RHS \PDesign Elevation = 519.240\PInvert Elevation =516.735}</t>
  </si>
  <si>
    <t>{\fTimes New Roman|b0|i0|c0|p18;           \LSLAB CULVERT PROFILE\P\lChainage-5+360\PName - Slab Culvert @Fill\PNo of Cell - one\PClear Span - 3m\PClear Height - 2.0m\PSkew Angle - 0%%D\PSlab length-11.84m\PInvert Slope =1.0% to RHS \PDesign Elevation = 520.57\PInvert Elevation =517.72}</t>
  </si>
  <si>
    <t>{\fTimes New Roman|b0|i0|c0|p18;           \LSLAB CULVERT PROFILE\P\lChainage-5+460\PName - Slab Culvert @Fill\PNo of Cell - one\PClear Span - 6m\PClear Height - 2.0m\PSkew Angle - 0%%D\PSlab length-11.84m\PInvert Slope =1.0% to RHS \PDesign Elevation = 520.51\PInvert Elevation =517.525}</t>
  </si>
  <si>
    <t>{\fTimes New Roman|b0|i0|c0|p18;           \LSLAB CULVERT PROFILE\P\lChainage-29+735\PName - Slab Culvert @Fill\PNo of Cell - one\PClear Span - 3m\PClear Height - 2.0m\PSkew Angle - 0%%D\PSlab length-11.41m\PInvert Slope =0.5% to RHS \PDesign Elevation = 538.54\PInvert Elevation =535.78}</t>
  </si>
  <si>
    <t>{\fTimes New Roman|b0|i0|c0|p18;           \LSLAB CULVERT PROFILE\P\lChainage-30+177\PName - Slab Culvert @Fill\PNo of Cell - one\PClear Span - 3m\PClear Height - 2.0m\PSkew Angle - 0%%D\PSlab length-11.34m\PInvert Slope =0.5% to RHS \PDesign Elevation = 538.75\PInvert Elevation =536.01}</t>
  </si>
  <si>
    <t>{\fTimes New Roman|b0|i0|c0|p18;           \LSLAB CULVERT PROFILE\P\lChainage-40+160\PName - Slab Culvert @Fill\PNo of Cell - one\PClear Span - 3m\PClear Height - 2.0m\PSkew Angle - 0%%D\PSlab length-12.31m\PInvert Slope =0.5% to RHS \PDesign Elevation = 559.81\PInvert Elevation =556.74}</t>
  </si>
  <si>
    <t>Abut ~ 1 Layout Coordinates</t>
  </si>
  <si>
    <t>concatenated</t>
  </si>
  <si>
    <t>X,Y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</si>
  <si>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</si>
  <si>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</si>
  <si>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</si>
  <si>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</si>
  <si>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</si>
  <si>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</si>
  <si>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</si>
  <si>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</si>
  <si>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</si>
  <si>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</si>
  <si>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</si>
  <si>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</si>
  <si>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</si>
  <si>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</si>
  <si>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</si>
  <si>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</si>
  <si>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</si>
  <si>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</si>
  <si>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</si>
  <si>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</si>
  <si>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Fik side excavation limit</t>
  </si>
  <si>
    <t>Imi side excavation limit</t>
  </si>
  <si>
    <t>A</t>
  </si>
  <si>
    <t>E</t>
  </si>
  <si>
    <t>B</t>
  </si>
  <si>
    <t>F</t>
  </si>
  <si>
    <t>C</t>
  </si>
  <si>
    <t>G</t>
  </si>
  <si>
    <t>D</t>
  </si>
  <si>
    <t>H</t>
  </si>
  <si>
    <t>slope</t>
  </si>
  <si>
    <t>EKHSPLKZ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</si>
</sst>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_);[Red]\(0.00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0" applyNumberFormat="1" applyBorder="1"/>
    <xf numFmtId="0" fontId="0" fillId="0" borderId="1" xfId="0" applyFill="1" applyBorder="1"/>
    <xf numFmtId="0" fontId="0" fillId="0" borderId="0" xfId="0" applyFill="1"/>
    <xf numFmtId="0" fontId="1" fillId="0" borderId="1" xfId="0" applyFont="1" applyFill="1" applyBorder="1"/>
    <xf numFmtId="164" fontId="0" fillId="0" borderId="1" xfId="0" applyNumberFormat="1" applyFill="1" applyBorder="1"/>
    <xf numFmtId="0" fontId="3" fillId="0" borderId="0" xfId="0" applyFont="1" applyFill="1"/>
    <xf numFmtId="4" fontId="0" fillId="0" borderId="0" xfId="0" applyNumberFormat="1"/>
    <xf numFmtId="3" fontId="0" fillId="0" borderId="0" xfId="0" applyNumberFormat="1"/>
    <xf numFmtId="0" fontId="4" fillId="0" borderId="1" xfId="0" applyFont="1" applyFill="1" applyBorder="1" applyAlignment="1"/>
    <xf numFmtId="0" fontId="4" fillId="0" borderId="1" xfId="0" applyFont="1" applyFill="1" applyBorder="1"/>
    <xf numFmtId="4" fontId="0" fillId="0" borderId="1" xfId="0" applyNumberFormat="1" applyFill="1" applyBorder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76200</xdr:rowOff>
        </xdr:from>
        <xdr:to>
          <xdr:col>5</xdr:col>
          <xdr:colOff>504825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pick_distance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5</xdr:col>
          <xdr:colOff>514350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7</xdr:row>
          <xdr:rowOff>85725</xdr:rowOff>
        </xdr:from>
        <xdr:to>
          <xdr:col>5</xdr:col>
          <xdr:colOff>504825</xdr:colOff>
          <xdr:row>9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0</xdr:rowOff>
        </xdr:from>
        <xdr:to>
          <xdr:col>3</xdr:col>
          <xdr:colOff>304800</xdr:colOff>
          <xdr:row>3</xdr:row>
          <xdr:rowOff>95250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28575</xdr:rowOff>
        </xdr:from>
        <xdr:to>
          <xdr:col>5</xdr:col>
          <xdr:colOff>142875</xdr:colOff>
          <xdr:row>3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276226</xdr:colOff>
      <xdr:row>0</xdr:row>
      <xdr:rowOff>95251</xdr:rowOff>
    </xdr:from>
    <xdr:to>
      <xdr:col>1</xdr:col>
      <xdr:colOff>676276</xdr:colOff>
      <xdr:row>2</xdr:row>
      <xdr:rowOff>19051</xdr:rowOff>
    </xdr:to>
    <xdr:sp macro="[0]!move_up" textlink="">
      <xdr:nvSpPr>
        <xdr:cNvPr id="2" name="Isosceles Triangle 1"/>
        <xdr:cNvSpPr/>
      </xdr:nvSpPr>
      <xdr:spPr>
        <a:xfrm>
          <a:off x="1276351" y="95251"/>
          <a:ext cx="400050" cy="304800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276224</xdr:colOff>
      <xdr:row>2</xdr:row>
      <xdr:rowOff>123825</xdr:rowOff>
    </xdr:from>
    <xdr:to>
      <xdr:col>1</xdr:col>
      <xdr:colOff>685800</xdr:colOff>
      <xdr:row>4</xdr:row>
      <xdr:rowOff>57149</xdr:rowOff>
    </xdr:to>
    <xdr:sp macro="[0]!move_down" textlink="">
      <xdr:nvSpPr>
        <xdr:cNvPr id="5" name="Isosceles Triangle 4"/>
        <xdr:cNvSpPr/>
      </xdr:nvSpPr>
      <xdr:spPr>
        <a:xfrm rot="10800000">
          <a:off x="1276349" y="504825"/>
          <a:ext cx="409576" cy="314324"/>
        </a:xfrm>
        <a:prstGeom prst="triangl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38100</xdr:rowOff>
        </xdr:from>
        <xdr:to>
          <xdr:col>6</xdr:col>
          <xdr:colOff>542925</xdr:colOff>
          <xdr:row>3</xdr:row>
          <xdr:rowOff>66675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copy_past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0</xdr:rowOff>
        </xdr:from>
        <xdr:to>
          <xdr:col>3</xdr:col>
          <xdr:colOff>219075</xdr:colOff>
          <xdr:row>6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16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1</xdr:row>
          <xdr:rowOff>28575</xdr:rowOff>
        </xdr:from>
        <xdr:to>
          <xdr:col>4</xdr:col>
          <xdr:colOff>590550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180975</xdr:rowOff>
        </xdr:from>
        <xdr:to>
          <xdr:col>5</xdr:col>
          <xdr:colOff>504825</xdr:colOff>
          <xdr:row>5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47625</xdr:rowOff>
        </xdr:from>
        <xdr:to>
          <xdr:col>6</xdr:col>
          <xdr:colOff>514350</xdr:colOff>
          <xdr:row>6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2"/>
  <sheetViews>
    <sheetView zoomScaleNormal="100" workbookViewId="0">
      <selection activeCell="B11" sqref="B11"/>
    </sheetView>
  </sheetViews>
  <sheetFormatPr defaultRowHeight="15" x14ac:dyDescent="0.25"/>
  <cols>
    <col min="1" max="1" width="9.140625" style="1" customWidth="1"/>
    <col min="2" max="2" width="12.7109375" style="1" customWidth="1"/>
  </cols>
  <sheetData>
    <row r="1" spans="1:10" x14ac:dyDescent="0.25">
      <c r="A1"/>
      <c r="B1" t="str">
        <f ca="1">CHAR(RANDBETWEEN(67,90))&amp;CHAR(RANDBETWEEN(67,90))&amp;CHAR(RANDBETWEEN(67,90))&amp;CHAR(RANDBETWEEN(67,90))&amp;CHAR(RANDBETWEEN(67,90))</f>
        <v>ZHDXK</v>
      </c>
    </row>
    <row r="2" spans="1:10" x14ac:dyDescent="0.25">
      <c r="A2">
        <v>5</v>
      </c>
      <c r="B2"/>
      <c r="C2" t="str">
        <f>Combine(B5:B13)</f>
        <v>++++++++</v>
      </c>
    </row>
    <row r="3" spans="1:10" x14ac:dyDescent="0.25">
      <c r="A3"/>
      <c r="B3"/>
    </row>
    <row r="4" spans="1:10" x14ac:dyDescent="0.25">
      <c r="A4" s="2" t="s">
        <v>0</v>
      </c>
      <c r="B4" s="2" t="s">
        <v>1</v>
      </c>
    </row>
    <row r="5" spans="1:10" x14ac:dyDescent="0.25">
      <c r="B5" s="3"/>
      <c r="J5" t="s">
        <v>2</v>
      </c>
    </row>
    <row r="6" spans="1:10" x14ac:dyDescent="0.25">
      <c r="B6" s="3"/>
      <c r="C6">
        <v>-77.95</v>
      </c>
    </row>
    <row r="7" spans="1:10" x14ac:dyDescent="0.25">
      <c r="B7" s="3"/>
    </row>
    <row r="8" spans="1:10" x14ac:dyDescent="0.25">
      <c r="B8" s="3"/>
    </row>
    <row r="9" spans="1:10" x14ac:dyDescent="0.25">
      <c r="B9" s="3"/>
    </row>
    <row r="10" spans="1:10" x14ac:dyDescent="0.25">
      <c r="B10" s="3"/>
    </row>
    <row r="11" spans="1:10" x14ac:dyDescent="0.25">
      <c r="B11" s="3"/>
    </row>
    <row r="12" spans="1:10" x14ac:dyDescent="0.25">
      <c r="B12" s="3"/>
    </row>
    <row r="13" spans="1:10" x14ac:dyDescent="0.25">
      <c r="B13" s="3"/>
    </row>
    <row r="14" spans="1:10" x14ac:dyDescent="0.25">
      <c r="B14" s="3"/>
    </row>
    <row r="15" spans="1:10" x14ac:dyDescent="0.25">
      <c r="B15" s="3"/>
    </row>
    <row r="16" spans="1:10" x14ac:dyDescent="0.25">
      <c r="B16" s="3"/>
    </row>
    <row r="17" spans="2:8" x14ac:dyDescent="0.25">
      <c r="B17" s="3"/>
    </row>
    <row r="18" spans="2:8" x14ac:dyDescent="0.25">
      <c r="B18" s="3"/>
    </row>
    <row r="19" spans="2:8" x14ac:dyDescent="0.25">
      <c r="B19" s="3"/>
      <c r="E19" s="10"/>
      <c r="F19" s="10"/>
      <c r="H19" s="9"/>
    </row>
    <row r="20" spans="2:8" x14ac:dyDescent="0.25">
      <c r="B20" s="3"/>
      <c r="H20" s="9"/>
    </row>
    <row r="21" spans="2:8" x14ac:dyDescent="0.25">
      <c r="B21" s="3"/>
    </row>
    <row r="22" spans="2:8" x14ac:dyDescent="0.25">
      <c r="B22" s="3"/>
      <c r="H22" s="9"/>
    </row>
    <row r="23" spans="2:8" x14ac:dyDescent="0.25">
      <c r="B23" s="3"/>
    </row>
    <row r="24" spans="2:8" x14ac:dyDescent="0.25">
      <c r="B24" s="3"/>
    </row>
    <row r="25" spans="2:8" x14ac:dyDescent="0.25">
      <c r="B25" s="3"/>
    </row>
    <row r="26" spans="2:8" x14ac:dyDescent="0.25">
      <c r="B26" s="3"/>
    </row>
    <row r="27" spans="2:8" x14ac:dyDescent="0.25">
      <c r="B27" s="3"/>
    </row>
    <row r="28" spans="2:8" x14ac:dyDescent="0.25">
      <c r="B28" s="3"/>
    </row>
    <row r="29" spans="2:8" x14ac:dyDescent="0.25">
      <c r="B29" s="3"/>
    </row>
    <row r="30" spans="2:8" x14ac:dyDescent="0.25">
      <c r="B30" s="3"/>
      <c r="H30" s="9"/>
    </row>
    <row r="31" spans="2:8" x14ac:dyDescent="0.25">
      <c r="B31" s="3"/>
    </row>
    <row r="32" spans="2:8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</sheetData>
  <dataValidations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istance">
                <anchor moveWithCells="1" sizeWithCells="1">
                  <from>
                    <xdr:col>2</xdr:col>
                    <xdr:colOff>142875</xdr:colOff>
                    <xdr:row>2</xdr:row>
                    <xdr:rowOff>76200</xdr:rowOff>
                  </from>
                  <to>
                    <xdr:col>5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5</xdr:col>
                    <xdr:colOff>514350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y_">
                <anchor moveWithCells="1" sizeWithCells="1">
                  <from>
                    <xdr:col>2</xdr:col>
                    <xdr:colOff>142875</xdr:colOff>
                    <xdr:row>7</xdr:row>
                    <xdr:rowOff>85725</xdr:rowOff>
                  </from>
                  <to>
                    <xdr:col>5</xdr:col>
                    <xdr:colOff>504825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49"/>
  <sheetViews>
    <sheetView tabSelected="1" zoomScale="85" zoomScaleNormal="85" workbookViewId="0">
      <pane ySplit="3825"/>
      <selection activeCell="A6" sqref="A5:A11"/>
      <selection pane="bottomLeft" activeCell="A7" sqref="A7"/>
    </sheetView>
  </sheetViews>
  <sheetFormatPr defaultRowHeight="15" x14ac:dyDescent="0.25"/>
  <cols>
    <col min="1" max="1" width="15" style="4" bestFit="1" customWidth="1"/>
    <col min="2" max="2" width="12.7109375" style="4" customWidth="1"/>
    <col min="3" max="16384" width="9.140625" style="5"/>
  </cols>
  <sheetData>
    <row r="1" spans="1:4" x14ac:dyDescent="0.25">
      <c r="A1" s="8" t="s">
        <v>4</v>
      </c>
      <c r="B1" s="5" t="str">
        <f ca="1">CHAR(RANDBETWEEN(67,90))&amp;CHAR(RANDBETWEEN(67,90))&amp;CHAR(RANDBETWEEN(67,90))&amp;CHAR(RANDBETWEEN(67,90))&amp;CHAR(RANDBETWEEN(67,90))&amp;CHAR(RANDBETWEEN(67,90))&amp;CHAR(RANDBETWEEN(67,90))&amp;CHAR(RANDBETWEEN(67,90))</f>
        <v>LCJFRMYQ</v>
      </c>
      <c r="C1" s="8" t="s">
        <v>56</v>
      </c>
    </row>
    <row r="2" spans="1:4" x14ac:dyDescent="0.25">
      <c r="A2" s="5">
        <v>5</v>
      </c>
      <c r="B2" s="5"/>
    </row>
    <row r="3" spans="1:4" x14ac:dyDescent="0.25">
      <c r="A3" s="5"/>
      <c r="B3" s="5"/>
    </row>
    <row r="4" spans="1:4" x14ac:dyDescent="0.25">
      <c r="A4" s="6" t="s">
        <v>3</v>
      </c>
      <c r="B4" s="5"/>
      <c r="D4"/>
    </row>
    <row r="5" spans="1:4" x14ac:dyDescent="0.25">
      <c r="B5" s="5"/>
      <c r="C5" t="s">
        <v>5</v>
      </c>
      <c r="D5"/>
    </row>
    <row r="6" spans="1:4" x14ac:dyDescent="0.25">
      <c r="B6" s="5"/>
      <c r="C6" s="5" t="s">
        <v>6</v>
      </c>
      <c r="D6"/>
    </row>
    <row r="7" spans="1:4" x14ac:dyDescent="0.25">
      <c r="B7" s="5"/>
      <c r="C7" s="5" t="s">
        <v>7</v>
      </c>
      <c r="D7"/>
    </row>
    <row r="8" spans="1:4" x14ac:dyDescent="0.25">
      <c r="B8" s="5"/>
      <c r="C8" s="5" t="s">
        <v>8</v>
      </c>
    </row>
    <row r="9" spans="1:4" ht="15.75" customHeight="1" x14ac:dyDescent="0.25">
      <c r="B9" s="5"/>
      <c r="C9" s="5" t="s">
        <v>9</v>
      </c>
    </row>
    <row r="10" spans="1:4" x14ac:dyDescent="0.25">
      <c r="B10" s="5"/>
      <c r="C10" s="5" t="s">
        <v>10</v>
      </c>
    </row>
    <row r="11" spans="1:4" x14ac:dyDescent="0.25">
      <c r="B11" s="5"/>
      <c r="C11" s="5" t="s">
        <v>11</v>
      </c>
    </row>
    <row r="12" spans="1:4" x14ac:dyDescent="0.25">
      <c r="B12" s="5"/>
      <c r="C12" s="5" t="s">
        <v>14</v>
      </c>
    </row>
    <row r="13" spans="1:4" x14ac:dyDescent="0.25">
      <c r="B13" s="5" t="s">
        <v>12</v>
      </c>
      <c r="C13" s="5" t="s">
        <v>15</v>
      </c>
    </row>
    <row r="14" spans="1:4" x14ac:dyDescent="0.25">
      <c r="B14" s="5" t="s">
        <v>13</v>
      </c>
      <c r="C14" s="5" t="s">
        <v>16</v>
      </c>
    </row>
    <row r="15" spans="1:4" x14ac:dyDescent="0.25">
      <c r="B15" s="5"/>
      <c r="C15" s="5" t="s">
        <v>17</v>
      </c>
    </row>
    <row r="16" spans="1:4" x14ac:dyDescent="0.25">
      <c r="A16" s="13"/>
      <c r="B16" s="5"/>
      <c r="C16" s="5" t="s">
        <v>18</v>
      </c>
    </row>
    <row r="17" spans="1:3" x14ac:dyDescent="0.25">
      <c r="A17" s="13"/>
      <c r="B17" s="5"/>
      <c r="C17" s="5" t="s">
        <v>19</v>
      </c>
    </row>
    <row r="18" spans="1:3" x14ac:dyDescent="0.25">
      <c r="A18" s="13"/>
      <c r="B18" s="5"/>
      <c r="C18" s="5" t="s">
        <v>20</v>
      </c>
    </row>
    <row r="19" spans="1:3" x14ac:dyDescent="0.25">
      <c r="A19" s="13"/>
      <c r="B19" s="5"/>
      <c r="C19" s="5" t="s">
        <v>21</v>
      </c>
    </row>
    <row r="20" spans="1:3" x14ac:dyDescent="0.25">
      <c r="A20" s="13"/>
      <c r="B20" s="5"/>
      <c r="C20" s="5">
        <v>9.5</v>
      </c>
    </row>
    <row r="21" spans="1:3" x14ac:dyDescent="0.25">
      <c r="A21" s="13"/>
      <c r="B21" s="5"/>
    </row>
    <row r="22" spans="1:3" x14ac:dyDescent="0.25">
      <c r="A22" s="13"/>
      <c r="B22" s="5"/>
    </row>
    <row r="23" spans="1:3" x14ac:dyDescent="0.25">
      <c r="A23" s="13"/>
      <c r="B23" s="5"/>
    </row>
    <row r="24" spans="1:3" x14ac:dyDescent="0.25">
      <c r="A24" s="13"/>
      <c r="B24" s="5"/>
    </row>
    <row r="25" spans="1:3" x14ac:dyDescent="0.25">
      <c r="A25" s="13"/>
      <c r="B25" s="5"/>
    </row>
    <row r="26" spans="1:3" x14ac:dyDescent="0.25">
      <c r="B26" s="5"/>
    </row>
    <row r="27" spans="1:3" x14ac:dyDescent="0.25">
      <c r="B27" s="5"/>
    </row>
    <row r="28" spans="1:3" x14ac:dyDescent="0.25">
      <c r="B28" s="5"/>
    </row>
    <row r="29" spans="1:3" x14ac:dyDescent="0.25">
      <c r="B29" s="5"/>
    </row>
    <row r="30" spans="1:3" x14ac:dyDescent="0.25">
      <c r="B30" s="5"/>
    </row>
    <row r="31" spans="1:3" x14ac:dyDescent="0.25">
      <c r="B31" s="5"/>
    </row>
    <row r="32" spans="1: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  <row r="38" spans="2:2" x14ac:dyDescent="0.25">
      <c r="B38" s="5"/>
    </row>
    <row r="39" spans="2:2" x14ac:dyDescent="0.25">
      <c r="B39" s="5"/>
    </row>
    <row r="40" spans="2:2" x14ac:dyDescent="0.25">
      <c r="B40" s="5"/>
    </row>
    <row r="41" spans="2:2" x14ac:dyDescent="0.25">
      <c r="B41" s="5"/>
    </row>
    <row r="42" spans="2:2" x14ac:dyDescent="0.25">
      <c r="B42" s="5"/>
    </row>
    <row r="43" spans="2:2" x14ac:dyDescent="0.25">
      <c r="B43" s="5"/>
    </row>
    <row r="44" spans="2:2" x14ac:dyDescent="0.25">
      <c r="B44" s="5"/>
    </row>
    <row r="45" spans="2:2" x14ac:dyDescent="0.25">
      <c r="B45" s="5"/>
    </row>
    <row r="46" spans="2:2" x14ac:dyDescent="0.25">
      <c r="B46" s="5"/>
    </row>
    <row r="47" spans="2:2" x14ac:dyDescent="0.25">
      <c r="B47" s="5"/>
    </row>
    <row r="48" spans="2:2" x14ac:dyDescent="0.25">
      <c r="B48" s="5"/>
    </row>
    <row r="49" spans="2:2" x14ac:dyDescent="0.25">
      <c r="B49" s="5"/>
    </row>
    <row r="50" spans="2:2" x14ac:dyDescent="0.25">
      <c r="B50" s="5"/>
    </row>
    <row r="51" spans="2:2" x14ac:dyDescent="0.25">
      <c r="B51" s="5"/>
    </row>
    <row r="52" spans="2:2" x14ac:dyDescent="0.25">
      <c r="B52" s="5"/>
    </row>
    <row r="53" spans="2:2" x14ac:dyDescent="0.25">
      <c r="B53" s="5"/>
    </row>
    <row r="54" spans="2:2" x14ac:dyDescent="0.25">
      <c r="B54" s="5"/>
    </row>
    <row r="55" spans="2:2" x14ac:dyDescent="0.25">
      <c r="B55" s="5"/>
    </row>
    <row r="56" spans="2:2" x14ac:dyDescent="0.25">
      <c r="B56" s="5"/>
    </row>
    <row r="57" spans="2:2" x14ac:dyDescent="0.25">
      <c r="B57" s="5"/>
    </row>
    <row r="58" spans="2:2" x14ac:dyDescent="0.25">
      <c r="B58" s="5"/>
    </row>
    <row r="59" spans="2:2" x14ac:dyDescent="0.25">
      <c r="B59" s="5"/>
    </row>
    <row r="60" spans="2:2" x14ac:dyDescent="0.25">
      <c r="B60" s="5"/>
    </row>
    <row r="61" spans="2:2" x14ac:dyDescent="0.25">
      <c r="B61" s="5"/>
    </row>
    <row r="62" spans="2:2" x14ac:dyDescent="0.25">
      <c r="B62" s="5"/>
    </row>
    <row r="63" spans="2:2" x14ac:dyDescent="0.25">
      <c r="B63" s="5"/>
    </row>
    <row r="64" spans="2:2" x14ac:dyDescent="0.25">
      <c r="B64" s="5"/>
    </row>
    <row r="65" spans="2:2" x14ac:dyDescent="0.25">
      <c r="B65" s="5"/>
    </row>
    <row r="66" spans="2:2" x14ac:dyDescent="0.25">
      <c r="B66" s="5"/>
    </row>
    <row r="67" spans="2:2" x14ac:dyDescent="0.25">
      <c r="B67" s="5"/>
    </row>
    <row r="68" spans="2:2" x14ac:dyDescent="0.25">
      <c r="B68" s="5"/>
    </row>
    <row r="69" spans="2:2" x14ac:dyDescent="0.25">
      <c r="B69" s="5"/>
    </row>
    <row r="70" spans="2:2" x14ac:dyDescent="0.25">
      <c r="B70" s="5"/>
    </row>
    <row r="71" spans="2:2" x14ac:dyDescent="0.25">
      <c r="B71" s="5"/>
    </row>
    <row r="72" spans="2:2" x14ac:dyDescent="0.25">
      <c r="B72" s="5"/>
    </row>
    <row r="73" spans="2:2" x14ac:dyDescent="0.25">
      <c r="B73" s="5"/>
    </row>
    <row r="74" spans="2:2" x14ac:dyDescent="0.25">
      <c r="B74" s="5"/>
    </row>
    <row r="75" spans="2:2" x14ac:dyDescent="0.25">
      <c r="B75" s="5"/>
    </row>
    <row r="76" spans="2:2" x14ac:dyDescent="0.25">
      <c r="B76" s="5"/>
    </row>
    <row r="77" spans="2:2" x14ac:dyDescent="0.25">
      <c r="B77" s="5"/>
    </row>
    <row r="78" spans="2:2" x14ac:dyDescent="0.25">
      <c r="B78" s="5"/>
    </row>
    <row r="79" spans="2:2" x14ac:dyDescent="0.25">
      <c r="B79" s="5"/>
    </row>
    <row r="80" spans="2:2" x14ac:dyDescent="0.25">
      <c r="B80" s="5"/>
    </row>
    <row r="81" spans="2:2" x14ac:dyDescent="0.25">
      <c r="B81" s="5"/>
    </row>
    <row r="82" spans="2:2" x14ac:dyDescent="0.25">
      <c r="B82" s="5"/>
    </row>
    <row r="83" spans="2:2" x14ac:dyDescent="0.25">
      <c r="B83" s="5"/>
    </row>
    <row r="84" spans="2:2" x14ac:dyDescent="0.25">
      <c r="B84" s="5"/>
    </row>
    <row r="85" spans="2:2" x14ac:dyDescent="0.25">
      <c r="B85" s="5"/>
    </row>
    <row r="86" spans="2:2" x14ac:dyDescent="0.25">
      <c r="B86" s="5"/>
    </row>
    <row r="87" spans="2:2" x14ac:dyDescent="0.25">
      <c r="B87" s="5"/>
    </row>
    <row r="88" spans="2:2" x14ac:dyDescent="0.25">
      <c r="B88" s="5"/>
    </row>
    <row r="89" spans="2:2" x14ac:dyDescent="0.25">
      <c r="B89" s="5"/>
    </row>
    <row r="90" spans="2:2" x14ac:dyDescent="0.25">
      <c r="B90" s="5"/>
    </row>
    <row r="91" spans="2:2" x14ac:dyDescent="0.25">
      <c r="B91" s="5"/>
    </row>
    <row r="92" spans="2:2" x14ac:dyDescent="0.25">
      <c r="B92" s="5"/>
    </row>
    <row r="93" spans="2:2" x14ac:dyDescent="0.25">
      <c r="B93" s="5"/>
    </row>
    <row r="94" spans="2:2" x14ac:dyDescent="0.25">
      <c r="B94" s="5"/>
    </row>
    <row r="95" spans="2:2" x14ac:dyDescent="0.25">
      <c r="B95" s="5"/>
    </row>
    <row r="96" spans="2:2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  <row r="125" spans="2:2" x14ac:dyDescent="0.25">
      <c r="B125" s="5"/>
    </row>
    <row r="126" spans="2:2" x14ac:dyDescent="0.25">
      <c r="B126" s="5"/>
    </row>
    <row r="127" spans="2:2" x14ac:dyDescent="0.25">
      <c r="B127" s="5"/>
    </row>
    <row r="128" spans="2:2" x14ac:dyDescent="0.25">
      <c r="B128" s="5"/>
    </row>
    <row r="129" spans="1:2" x14ac:dyDescent="0.25">
      <c r="B129" s="5"/>
    </row>
    <row r="130" spans="1:2" x14ac:dyDescent="0.25">
      <c r="B130" s="5"/>
    </row>
    <row r="131" spans="1:2" x14ac:dyDescent="0.25">
      <c r="B131" s="5"/>
    </row>
    <row r="132" spans="1:2" x14ac:dyDescent="0.25">
      <c r="B132" s="5"/>
    </row>
    <row r="133" spans="1:2" x14ac:dyDescent="0.25">
      <c r="B133" s="5"/>
    </row>
    <row r="134" spans="1:2" x14ac:dyDescent="0.25">
      <c r="B134" s="5"/>
    </row>
    <row r="135" spans="1:2" x14ac:dyDescent="0.25">
      <c r="B135" s="5"/>
    </row>
    <row r="136" spans="1:2" x14ac:dyDescent="0.25">
      <c r="B136" s="5"/>
    </row>
    <row r="137" spans="1:2" x14ac:dyDescent="0.25">
      <c r="B137" s="5"/>
    </row>
    <row r="138" spans="1:2" x14ac:dyDescent="0.25">
      <c r="B138" s="5"/>
    </row>
    <row r="139" spans="1:2" x14ac:dyDescent="0.25">
      <c r="B139" s="5"/>
    </row>
    <row r="140" spans="1:2" x14ac:dyDescent="0.25">
      <c r="B140" s="5"/>
    </row>
    <row r="141" spans="1:2" x14ac:dyDescent="0.25">
      <c r="A141" s="12"/>
    </row>
    <row r="142" spans="1:2" x14ac:dyDescent="0.25">
      <c r="A142" s="12"/>
    </row>
    <row r="143" spans="1:2" x14ac:dyDescent="0.25">
      <c r="A143" s="12"/>
      <c r="B143" s="7"/>
    </row>
    <row r="144" spans="1:2" x14ac:dyDescent="0.25">
      <c r="A144" s="11"/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245" spans="1:1" x14ac:dyDescent="0.25">
      <c r="A245" s="12"/>
    </row>
    <row r="246" spans="1:1" x14ac:dyDescent="0.25">
      <c r="A246" s="12"/>
    </row>
    <row r="247" spans="1:1" x14ac:dyDescent="0.25">
      <c r="A247" s="12"/>
    </row>
    <row r="248" spans="1:1" x14ac:dyDescent="0.25">
      <c r="A248" s="12"/>
    </row>
    <row r="249" spans="1:1" x14ac:dyDescent="0.25">
      <c r="A249" s="12"/>
    </row>
  </sheetData>
  <sortState ref="A5:A33">
    <sortCondition descending="1" ref="A5"/>
  </sortState>
  <dataValidations disablePrompts="1"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get_staiton">
                <anchor moveWithCells="1" sizeWithCells="1">
                  <from>
                    <xdr:col>2</xdr:col>
                    <xdr:colOff>104775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clear_content">
                <anchor moveWithCells="1" sizeWithCells="1">
                  <from>
                    <xdr:col>3</xdr:col>
                    <xdr:colOff>552450</xdr:colOff>
                    <xdr:row>1</xdr:row>
                    <xdr:rowOff>28575</xdr:rowOff>
                  </from>
                  <to>
                    <xdr:col>5</xdr:col>
                    <xdr:colOff>142875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pastev">
                <anchor moveWithCells="1" sizeWithCells="1">
                  <from>
                    <xdr:col>5</xdr:col>
                    <xdr:colOff>342900</xdr:colOff>
                    <xdr:row>1</xdr:row>
                    <xdr:rowOff>38100</xdr:rowOff>
                  </from>
                  <to>
                    <xdr:col>6</xdr:col>
                    <xdr:colOff>542925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Macro1">
                <anchor moveWithCells="1">
                  <from>
                    <xdr:col>2</xdr:col>
                    <xdr:colOff>123825</xdr:colOff>
                    <xdr:row>4</xdr:row>
                    <xdr:rowOff>0</xdr:rowOff>
                  </from>
                  <to>
                    <xdr:col>3</xdr:col>
                    <xdr:colOff>219075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8"/>
  <sheetViews>
    <sheetView workbookViewId="0"/>
  </sheetViews>
  <sheetFormatPr defaultRowHeight="15" x14ac:dyDescent="0.25"/>
  <cols>
    <col min="1" max="1" width="8.42578125" customWidth="1"/>
    <col min="2" max="3" width="13.140625" bestFit="1" customWidth="1"/>
    <col min="4" max="4" width="11.28515625" bestFit="1" customWidth="1"/>
    <col min="5" max="5" width="11.42578125" customWidth="1"/>
    <col min="6" max="6" width="20.140625" customWidth="1"/>
    <col min="7" max="7" width="16" customWidth="1"/>
    <col min="8" max="8" width="23.140625" bestFit="1" customWidth="1"/>
  </cols>
  <sheetData>
    <row r="1" spans="1:8" ht="15.75" thickBot="1" x14ac:dyDescent="0.3"/>
    <row r="2" spans="1:8" ht="16.5" thickTop="1" x14ac:dyDescent="0.25">
      <c r="A2" s="16" t="s">
        <v>22</v>
      </c>
      <c r="B2" s="17"/>
      <c r="C2" s="18"/>
      <c r="F2">
        <v>625.53899999999999</v>
      </c>
      <c r="G2">
        <f>F2-F3</f>
        <v>3.2799999999951979E-2</v>
      </c>
    </row>
    <row r="3" spans="1:8" x14ac:dyDescent="0.25">
      <c r="F3">
        <v>625.50620000000004</v>
      </c>
      <c r="H3" t="s">
        <v>23</v>
      </c>
    </row>
    <row r="4" spans="1:8" x14ac:dyDescent="0.25"/>
    <row r="5" spans="1:8" x14ac:dyDescent="0.25">
      <c r="A5" s="4">
        <v>1</v>
      </c>
      <c r="B5" s="4" t="s">
        <v>24</v>
      </c>
      <c r="C5" s="19" t="s">
        <v>45</v>
      </c>
      <c r="D5" s="20"/>
      <c r="E5" s="21"/>
      <c r="F5" s="19" t="s">
        <v>46</v>
      </c>
      <c r="G5" s="20"/>
      <c r="H5" s="21"/>
    </row>
    <row r="6" spans="1:8" x14ac:dyDescent="0.25">
      <c r="A6" s="4">
        <v>2</v>
      </c>
      <c r="B6" s="4" t="s">
        <v>24</v>
      </c>
      <c r="C6" s="14" t="s">
        <v>47</v>
      </c>
      <c r="D6" s="15">
        <v>206143.91690000001</v>
      </c>
      <c r="E6" s="15">
        <v>798600.69160000002</v>
      </c>
      <c r="F6" s="14" t="s">
        <v>48</v>
      </c>
      <c r="G6" s="15">
        <v>206130.23509999999</v>
      </c>
      <c r="H6" s="15">
        <v>798602.63769999996</v>
      </c>
    </row>
    <row r="7" spans="1:8" x14ac:dyDescent="0.25">
      <c r="A7" s="4">
        <v>3</v>
      </c>
      <c r="B7" s="4" t="s">
        <v>24</v>
      </c>
      <c r="C7" s="14" t="s">
        <v>49</v>
      </c>
      <c r="D7" s="15">
        <v>206150.27609999999</v>
      </c>
      <c r="E7" s="15">
        <v>798610.86809999996</v>
      </c>
      <c r="F7" s="14" t="s">
        <v>50</v>
      </c>
      <c r="G7" s="15">
        <v>206123.87599999999</v>
      </c>
      <c r="H7" s="15">
        <v>798592.46120000002</v>
      </c>
    </row>
    <row r="8" spans="1:8" x14ac:dyDescent="0.25">
      <c r="A8" s="4">
        <v>4</v>
      </c>
      <c r="B8" s="4" t="s">
        <v>24</v>
      </c>
      <c r="C8" s="14" t="s">
        <v>51</v>
      </c>
      <c r="D8" s="15">
        <v>206139.5619</v>
      </c>
      <c r="E8" s="15">
        <v>798617.56319999998</v>
      </c>
      <c r="F8" s="14" t="s">
        <v>52</v>
      </c>
      <c r="G8" s="15">
        <v>206134.5901</v>
      </c>
      <c r="H8" s="15">
        <v>798585.76610000001</v>
      </c>
    </row>
    <row r="9" spans="1:8" x14ac:dyDescent="0.25">
      <c r="A9" s="4" t="s">
        <v>25</v>
      </c>
      <c r="B9" s="4" t="s">
        <v>24</v>
      </c>
      <c r="C9" s="14" t="s">
        <v>53</v>
      </c>
      <c r="D9" s="15">
        <v>206133.20269999999</v>
      </c>
      <c r="E9" s="15">
        <v>798607.38670000003</v>
      </c>
      <c r="F9" s="14" t="s">
        <v>54</v>
      </c>
      <c r="G9" s="15">
        <v>206140.94930000001</v>
      </c>
      <c r="H9" s="15">
        <v>798595.94259999995</v>
      </c>
    </row>
    <row r="10" spans="1:8" x14ac:dyDescent="0.25">
      <c r="A10" s="4" t="s">
        <v>26</v>
      </c>
      <c r="B10" s="4" t="s">
        <v>24</v>
      </c>
      <c r="C10" s="14"/>
      <c r="D10" s="15"/>
      <c r="E10" s="15"/>
      <c r="F10" s="14"/>
      <c r="G10" s="15"/>
      <c r="H10" s="15"/>
    </row>
    <row r="11" spans="1:8" x14ac:dyDescent="0.25">
      <c r="A11" s="4" t="s">
        <v>27</v>
      </c>
      <c r="B11" s="4" t="s">
        <v>24</v>
      </c>
      <c r="C11" s="14">
        <v>6</v>
      </c>
      <c r="D11" s="15">
        <v>206125.0632</v>
      </c>
      <c r="E11" s="15">
        <v>798592.66269999999</v>
      </c>
      <c r="F11" s="14">
        <v>21</v>
      </c>
      <c r="G11" s="15">
        <v>206137.34959999999</v>
      </c>
      <c r="H11" s="15">
        <v>798595.22039999999</v>
      </c>
    </row>
    <row r="12" spans="1:8" x14ac:dyDescent="0.25">
      <c r="A12" s="4" t="s">
        <v>28</v>
      </c>
      <c r="B12" s="4" t="s">
        <v>24</v>
      </c>
      <c r="C12" s="14">
        <v>7</v>
      </c>
      <c r="D12" s="15">
        <v>206134.25080000001</v>
      </c>
      <c r="E12" s="15">
        <v>798586.92150000005</v>
      </c>
      <c r="F12" s="14">
        <v>22</v>
      </c>
      <c r="G12" s="15">
        <v>206138.33119999999</v>
      </c>
      <c r="H12" s="15">
        <v>798594.9608</v>
      </c>
    </row>
    <row r="13" spans="1:8" x14ac:dyDescent="0.25">
      <c r="A13" s="4" t="s">
        <v>29</v>
      </c>
      <c r="B13" s="4" t="s">
        <v>24</v>
      </c>
      <c r="C13" s="14">
        <v>8</v>
      </c>
      <c r="D13" s="15">
        <v>206139.70910000001</v>
      </c>
      <c r="E13" s="15">
        <v>798595.65630000003</v>
      </c>
      <c r="F13" s="14">
        <v>23</v>
      </c>
      <c r="G13" s="15">
        <v>206138.18960000001</v>
      </c>
      <c r="H13" s="15">
        <v>798595.04929999996</v>
      </c>
    </row>
    <row r="14" spans="1:8" x14ac:dyDescent="0.25">
      <c r="A14" s="4" t="s">
        <v>30</v>
      </c>
      <c r="B14" s="4" t="s">
        <v>24</v>
      </c>
      <c r="C14" s="14">
        <v>9</v>
      </c>
      <c r="D14" s="15">
        <v>206125.88320000001</v>
      </c>
      <c r="E14" s="15">
        <v>798592.15029999998</v>
      </c>
      <c r="F14" s="14">
        <v>24</v>
      </c>
      <c r="G14" s="15">
        <v>206137.85029999999</v>
      </c>
      <c r="H14" s="15">
        <v>798595.26130000001</v>
      </c>
    </row>
    <row r="15" spans="1:8" x14ac:dyDescent="0.25">
      <c r="A15" s="4" t="s">
        <v>31</v>
      </c>
      <c r="B15" s="4" t="s">
        <v>24</v>
      </c>
      <c r="C15" s="14">
        <v>10</v>
      </c>
      <c r="D15" s="15">
        <v>206126.2224</v>
      </c>
      <c r="E15" s="15">
        <v>798591.93830000004</v>
      </c>
      <c r="F15" s="14">
        <v>25</v>
      </c>
      <c r="G15" s="15">
        <v>206130.77590000001</v>
      </c>
      <c r="H15" s="15">
        <v>798600.29520000005</v>
      </c>
    </row>
    <row r="16" spans="1:8" x14ac:dyDescent="0.25">
      <c r="A16" s="4" t="s">
        <v>32</v>
      </c>
      <c r="B16" s="4" t="s">
        <v>24</v>
      </c>
      <c r="C16" s="14">
        <v>11</v>
      </c>
      <c r="D16" s="15">
        <v>206129.00659999999</v>
      </c>
      <c r="E16" s="15">
        <v>798590.19850000006</v>
      </c>
      <c r="F16" s="14">
        <v>26</v>
      </c>
      <c r="G16" s="15">
        <v>206138.6067</v>
      </c>
      <c r="H16" s="15">
        <v>798595.40179999999</v>
      </c>
    </row>
    <row r="17" spans="1:8" x14ac:dyDescent="0.25">
      <c r="A17" s="4" t="s">
        <v>33</v>
      </c>
      <c r="B17" s="4" t="s">
        <v>24</v>
      </c>
      <c r="C17" s="14">
        <v>12</v>
      </c>
      <c r="D17" s="15">
        <v>206130.30739999999</v>
      </c>
      <c r="E17" s="15">
        <v>798589.38560000004</v>
      </c>
      <c r="F17" s="14">
        <v>27</v>
      </c>
      <c r="G17" s="15">
        <v>206131.05160000001</v>
      </c>
      <c r="H17" s="15">
        <v>798599.50970000005</v>
      </c>
    </row>
    <row r="18" spans="1:8" x14ac:dyDescent="0.25">
      <c r="A18" s="4" t="s">
        <v>34</v>
      </c>
      <c r="B18" s="4" t="s">
        <v>24</v>
      </c>
      <c r="C18" s="14">
        <v>13</v>
      </c>
      <c r="D18" s="15">
        <v>206133.09160000001</v>
      </c>
      <c r="E18" s="15">
        <v>798587.6459</v>
      </c>
      <c r="F18" s="14">
        <v>28</v>
      </c>
      <c r="G18" s="15">
        <v>206130.89259999999</v>
      </c>
      <c r="H18" s="15">
        <v>798599.25529999996</v>
      </c>
    </row>
    <row r="19" spans="1:8" x14ac:dyDescent="0.25">
      <c r="A19" s="4" t="s">
        <v>35</v>
      </c>
      <c r="B19" s="4" t="s">
        <v>24</v>
      </c>
      <c r="C19" s="14">
        <v>14</v>
      </c>
      <c r="D19" s="15">
        <v>206133.4308</v>
      </c>
      <c r="E19" s="15">
        <v>798587.43389999995</v>
      </c>
      <c r="F19" s="14">
        <v>29</v>
      </c>
      <c r="G19" s="15">
        <v>206137.62100000001</v>
      </c>
      <c r="H19" s="15">
        <v>798595.05090000003</v>
      </c>
    </row>
    <row r="20" spans="1:8" x14ac:dyDescent="0.25">
      <c r="A20" s="4" t="s">
        <v>36</v>
      </c>
      <c r="B20" s="4" t="s">
        <v>24</v>
      </c>
      <c r="C20" s="14">
        <v>15</v>
      </c>
      <c r="D20" s="15">
        <v>206132.08009999999</v>
      </c>
      <c r="E20" s="15">
        <v>798595.11719999998</v>
      </c>
      <c r="F20" s="14">
        <v>30</v>
      </c>
      <c r="G20" s="15">
        <v>206137.77989999999</v>
      </c>
      <c r="H20" s="15">
        <v>798595.30530000001</v>
      </c>
    </row>
    <row r="21" spans="1:8" x14ac:dyDescent="0.25">
      <c r="A21" s="4" t="s">
        <v>37</v>
      </c>
      <c r="B21" s="4" t="s">
        <v>24</v>
      </c>
    </row>
    <row r="22" spans="1:8" x14ac:dyDescent="0.25">
      <c r="A22" s="4" t="s">
        <v>38</v>
      </c>
      <c r="B22" s="4" t="s">
        <v>24</v>
      </c>
    </row>
    <row r="23" spans="1:8" x14ac:dyDescent="0.25">
      <c r="A23" s="4" t="s">
        <v>39</v>
      </c>
      <c r="B23" s="4" t="s">
        <v>24</v>
      </c>
    </row>
    <row r="24" spans="1:8" x14ac:dyDescent="0.25">
      <c r="A24" s="4" t="s">
        <v>40</v>
      </c>
      <c r="B24" s="4" t="s">
        <v>24</v>
      </c>
    </row>
    <row r="25" spans="1:8" x14ac:dyDescent="0.25">
      <c r="A25" s="4" t="s">
        <v>41</v>
      </c>
      <c r="B25" s="4" t="s">
        <v>24</v>
      </c>
    </row>
    <row r="26" spans="1:8" x14ac:dyDescent="0.25">
      <c r="A26" s="4" t="s">
        <v>42</v>
      </c>
      <c r="B26" s="4" t="s">
        <v>24</v>
      </c>
    </row>
    <row r="27" spans="1:8" x14ac:dyDescent="0.25">
      <c r="A27" s="4" t="s">
        <v>43</v>
      </c>
      <c r="B27" s="4" t="s">
        <v>24</v>
      </c>
    </row>
    <row r="28" spans="1:8" x14ac:dyDescent="0.25">
      <c r="A28" s="4" t="s">
        <v>44</v>
      </c>
      <c r="B28" s="4" t="s">
        <v>24</v>
      </c>
    </row>
  </sheetData>
  <mergeCells count="3">
    <mergeCell ref="A2:C2"/>
    <mergeCell ref="C5:E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AddCircle">
                <anchor moveWithCells="1" sizeWithCells="1">
                  <from>
                    <xdr:col>3</xdr:col>
                    <xdr:colOff>428625</xdr:colOff>
                    <xdr:row>1</xdr:row>
                    <xdr:rowOff>28575</xdr:rowOff>
                  </from>
                  <to>
                    <xdr:col>4</xdr:col>
                    <xdr:colOff>590550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"/>
  <sheetViews>
    <sheetView workbookViewId="0">
      <selection activeCell="E10" sqref="E10"/>
    </sheetView>
  </sheetViews>
  <sheetFormatPr defaultRowHeight="15" x14ac:dyDescent="0.25"/>
  <sheetData>
    <row r="4" spans="2:2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_pt">
                <anchor moveWithCells="1" sizeWithCells="1">
                  <from>
                    <xdr:col>4</xdr:col>
                    <xdr:colOff>19050</xdr:colOff>
                    <xdr:row>0</xdr:row>
                    <xdr:rowOff>180975</xdr:rowOff>
                  </from>
                  <to>
                    <xdr:col>5</xdr:col>
                    <xdr:colOff>504825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5:C6"/>
  <sheetViews>
    <sheetView workbookViewId="0">
      <selection activeCell="E10" sqref="E10"/>
    </sheetView>
  </sheetViews>
  <sheetFormatPr defaultRowHeight="15" x14ac:dyDescent="0.25"/>
  <sheetData>
    <row r="5" spans="3:3" x14ac:dyDescent="0.25">
      <c r="C5" t="s">
        <v>55</v>
      </c>
    </row>
    <row r="6" spans="3:3" x14ac:dyDescent="0.25">
      <c r="C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_xludf.slope">
                <anchor moveWithCells="1" sizeWithCells="1">
                  <from>
                    <xdr:col>4</xdr:col>
                    <xdr:colOff>600075</xdr:colOff>
                    <xdr:row>2</xdr:row>
                    <xdr:rowOff>47625</xdr:rowOff>
                  </from>
                  <to>
                    <xdr:col>6</xdr:col>
                    <xdr:colOff>514350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pk_length</vt:lpstr>
      <vt:lpstr>pk_Text</vt:lpstr>
      <vt:lpstr>send_coordinates</vt:lpstr>
      <vt:lpstr>pk_coordinates</vt:lpstr>
      <vt:lpstr>slope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2020-06-24T19:46:07Z</dcterms:created>
  <dcterms:modified xsi:type="dcterms:W3CDTF">2020-08-23T21:11:58Z</dcterms:modified>
</cp:coreProperties>
</file>